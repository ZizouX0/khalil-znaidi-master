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st calculator" sheetId="2" state="visible" r:id="rId4"/>
    <sheet name="All programmes" sheetId="3" state="visible" r:id="rId5"/>
    <sheet name="Countries" sheetId="4" state="visible" r:id="rId6"/>
    <sheet name="Funding" sheetId="5" state="visible" r:id="rId7"/>
    <sheet name="Action plan" sheetId="6" state="visible" r:id="rId8"/>
    <sheet name="Exclude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<sst xmlns="http://schemas.openxmlformats.org/spreadsheetml/2006/main" count="1092" uniqueCount="588">
  <si>
    <t xml:space="preserve">European Master's Research — Results</t>
  </si>
  <si>
    <t xml:space="preserve">Prepared 17 August 2026 · target intake autumn 2027</t>
  </si>
  <si>
    <t xml:space="preserve">HOW TO USE THIS WORKBOOK</t>
  </si>
  <si>
    <t xml:space="preserve">Blue figures are inputs you can change. Black figures are formulas that recalculate.</t>
  </si>
  <si>
    <t xml:space="preserve">The "Cost calculator" sheet totals each option over its full duration — fill in the</t>
  </si>
  <si>
    <t xml:space="preserve">living-cost column for any city you are seriously considering and it will update.</t>
  </si>
  <si>
    <t xml:space="preserve">WHAT THE COLUMNS MEAN</t>
  </si>
  <si>
    <t xml:space="preserve">Tier A  — you can apply now (English or French taught).</t>
  </si>
  <si>
    <t xml:space="preserve">Tier B  — needs Spanish or Italian, roughly 6-12 months of study for a French speaker.</t>
  </si>
  <si>
    <t xml:space="preserve">Tier C  — needs a language that takes considerably longer.</t>
  </si>
  <si>
    <t xml:space="preserve">146 verdict — whether your 146-credit transcript is likely to block admission.</t>
  </si>
  <si>
    <t xml:space="preserve">LIKELY OK / BORDERLINE / BLOCKING.</t>
  </si>
  <si>
    <t xml:space="preserve">THREE THINGS TO READ BEFORE ANYTHING ELSE</t>
  </si>
  <si>
    <t xml:space="preserve">1. Your 146 credits are almost certainly a bookkeeping artefact, not a missing year.</t>
  </si>
  <si>
    <t xml:space="preserve">   Tunisian law fixes the licence at 180 credits. Confirm you hold the diploma.</t>
  </si>
  <si>
    <t xml:space="preserve">2. You do NOT need an English test to apply everywhere. Three programmes take you</t>
  </si>
  <si>
    <t xml:space="preserve">   with no certificate at all: EUBA Bratislava (free, AACSB), Corvinus Budapest</t>
  </si>
  <si>
    <t xml:space="preserve">   (triple-accredited) and Bergamo. Sit IELTS anyway - it opens far more doors.</t>
  </si>
  <si>
    <t xml:space="preserve">3. Tuition is rarely the real cost. The visa deposit is: France ~EUR 14,500,</t>
  </si>
  <si>
    <t xml:space="preserve">   Norway ~EUR 14,600, Germany EUR 11,904. Check the visa funds column - Norway is</t>
  </si>
  <si>
    <t xml:space="preserve">   effectively closed because no Norwegian institution offers a grant to satisfy it.</t>
  </si>
  <si>
    <t xml:space="preserve">A NOTE ON ACCURACY</t>
  </si>
  <si>
    <t xml:space="preserve">Figures marked NOT VERIFIED could not be confirmed on an official source and were</t>
  </si>
  <si>
    <t xml:space="preserve">left blank rather than estimated. Most 2027/28 deadlines are not yet published, so</t>
  </si>
  <si>
    <t xml:space="preserve">dates here indicate when in the year to look, not deadlines to diarise.</t>
  </si>
  <si>
    <t xml:space="preserve">Shortlist — cost calculator</t>
  </si>
  <si>
    <t xml:space="preserve">Blue = change these. Black = calculated. Living costs are blank where no official figure was found — fill in your own and the totals update.</t>
  </si>
  <si>
    <t xml:space="preserve">#</t>
  </si>
  <si>
    <t xml:space="preserve">Programme</t>
  </si>
  <si>
    <t xml:space="preserve">Institution</t>
  </si>
  <si>
    <t xml:space="preserve">Country</t>
  </si>
  <si>
    <t xml:space="preserve">City</t>
  </si>
  <si>
    <t xml:space="preserve">Dir.</t>
  </si>
  <si>
    <t xml:space="preserve">Tier</t>
  </si>
  <si>
    <t xml:space="preserve">Language</t>
  </si>
  <si>
    <t xml:space="preserve">Tuition/yr (EUR)</t>
  </si>
  <si>
    <t xml:space="preserve">Years</t>
  </si>
  <si>
    <t xml:space="preserve">Living/mo (EUR)</t>
  </si>
  <si>
    <t xml:space="preserve">Tuition total (EUR)</t>
  </si>
  <si>
    <t xml:space="preserve">Living total (EUR)</t>
  </si>
  <si>
    <t xml:space="preserve">EST. TOTAL (EUR)</t>
  </si>
  <si>
    <t xml:space="preserve">Visa funds yr 1 (EUR)</t>
  </si>
  <si>
    <t xml:space="preserve">146 verdict</t>
  </si>
  <si>
    <t xml:space="preserve">MSc Marketing and Trade Management</t>
  </si>
  <si>
    <t xml:space="preserve">EUBA Bratislava</t>
  </si>
  <si>
    <t xml:space="preserve">Slovakia</t>
  </si>
  <si>
    <t xml:space="preserve">Bratislava</t>
  </si>
  <si>
    <t xml:space="preserve">D1/D2</t>
  </si>
  <si>
    <t xml:space="preserve">A</t>
  </si>
  <si>
    <t xml:space="preserve">English</t>
  </si>
  <si>
    <t xml:space="preserve">LIKELY OK</t>
  </si>
  <si>
    <t xml:space="preserve">MA International Marketing Management</t>
  </si>
  <si>
    <t xml:space="preserve">HWR Berlin</t>
  </si>
  <si>
    <t xml:space="preserve">Germany</t>
  </si>
  <si>
    <t xml:space="preserve">Berlin</t>
  </si>
  <si>
    <t xml:space="preserve">MSc Marketing</t>
  </si>
  <si>
    <t xml:space="preserve">Corvinus</t>
  </si>
  <si>
    <t xml:space="preserve">Hungary</t>
  </si>
  <si>
    <t xml:space="preserve">Budapest</t>
  </si>
  <si>
    <t xml:space="preserve">D1</t>
  </si>
  <si>
    <t xml:space="preserve">MSc Marketing (Stipendium-funded)</t>
  </si>
  <si>
    <t xml:space="preserve">GIOCA - Innovation &amp; Organization of Culture and the Arts</t>
  </si>
  <si>
    <t xml:space="preserve">Universita di Bologna</t>
  </si>
  <si>
    <t xml:space="preserve">Italy</t>
  </si>
  <si>
    <t xml:space="preserve">Bologna</t>
  </si>
  <si>
    <t xml:space="preserve">D4</t>
  </si>
  <si>
    <t xml:space="preserve">MSc Digital Customer Experience &amp; Service Design</t>
  </si>
  <si>
    <t xml:space="preserve">KU Eichstatt-Ingolstadt</t>
  </si>
  <si>
    <t xml:space="preserve">Ingolstadt</t>
  </si>
  <si>
    <t xml:space="preserve">MA Digital Marketing</t>
  </si>
  <si>
    <t xml:space="preserve">FH Kufstein Tirol</t>
  </si>
  <si>
    <t xml:space="preserve">Austria</t>
  </si>
  <si>
    <t xml:space="preserve">Kufstein</t>
  </si>
  <si>
    <t xml:space="preserve">D2</t>
  </si>
  <si>
    <t xml:space="preserve">MA Data Science &amp; Intelligent Analytics</t>
  </si>
  <si>
    <t xml:space="preserve">Marketing and Global Markets</t>
  </si>
  <si>
    <t xml:space="preserve">Milano-Bicocca</t>
  </si>
  <si>
    <t xml:space="preserve">Milan</t>
  </si>
  <si>
    <t xml:space="preserve">MIBE</t>
  </si>
  <si>
    <t xml:space="preserve">Universita di Pavia</t>
  </si>
  <si>
    <t xml:space="preserve">Pavia</t>
  </si>
  <si>
    <t xml:space="preserve">International Management</t>
  </si>
  <si>
    <t xml:space="preserve">Universita di Bergamo</t>
  </si>
  <si>
    <t xml:space="preserve">Bergamo</t>
  </si>
  <si>
    <t xml:space="preserve">Master MMX - Marketing et Management de l Experience Client</t>
  </si>
  <si>
    <t xml:space="preserve">IAE Gustave Eiffel</t>
  </si>
  <si>
    <t xml:space="preserve">France</t>
  </si>
  <si>
    <t xml:space="preserve">Marne-la-Vallee</t>
  </si>
  <si>
    <t xml:space="preserve">French</t>
  </si>
  <si>
    <t xml:space="preserve">Master Marketing-Vente (M1)</t>
  </si>
  <si>
    <t xml:space="preserve">iaelyon / Lyon 3</t>
  </si>
  <si>
    <t xml:space="preserve">Lyon</t>
  </si>
  <si>
    <t xml:space="preserve">M1 Marketing (formation initiale)</t>
  </si>
  <si>
    <t xml:space="preserve">IGR-IAE Rennes</t>
  </si>
  <si>
    <t xml:space="preserve">Rennes</t>
  </si>
  <si>
    <t xml:space="preserve">e-Marketing et Strategie Digitale</t>
  </si>
  <si>
    <t xml:space="preserve">EM Strasbourg</t>
  </si>
  <si>
    <t xml:space="preserve">Strasbourg</t>
  </si>
  <si>
    <t xml:space="preserve">M1 Mgmt innovation -&gt; M2 Ecosysteme de la Musique</t>
  </si>
  <si>
    <t xml:space="preserve">Universite Lumiere Lyon 2</t>
  </si>
  <si>
    <t xml:space="preserve">D3</t>
  </si>
  <si>
    <t xml:space="preserve">Master 120 publicite et communication commerciale</t>
  </si>
  <si>
    <t xml:space="preserve">IHECS</t>
  </si>
  <si>
    <t xml:space="preserve">Belgium</t>
  </si>
  <si>
    <t xml:space="preserve">Brussels</t>
  </si>
  <si>
    <t xml:space="preserve">BORDERLINE</t>
  </si>
  <si>
    <t xml:space="preserve">Master en gestion de l entreprise</t>
  </si>
  <si>
    <t xml:space="preserve">ICHEC</t>
  </si>
  <si>
    <t xml:space="preserve">FR/EN</t>
  </si>
  <si>
    <t xml:space="preserve">Master 120 sciences de gestion</t>
  </si>
  <si>
    <t xml:space="preserve">UMons Warocque</t>
  </si>
  <si>
    <t xml:space="preserve">Mons</t>
  </si>
  <si>
    <t xml:space="preserve">MSc Economics &amp; Business Admin (Business Data Science)</t>
  </si>
  <si>
    <t xml:space="preserve">Aalborg University</t>
  </si>
  <si>
    <t xml:space="preserve">Denmark</t>
  </si>
  <si>
    <t xml:space="preserve">Aalborg</t>
  </si>
  <si>
    <t xml:space="preserve">Digital Business (MA)</t>
  </si>
  <si>
    <t xml:space="preserve">Uniwersytet Warszawski</t>
  </si>
  <si>
    <t xml:space="preserve">Poland</t>
  </si>
  <si>
    <t xml:space="preserve">Warsaw</t>
  </si>
  <si>
    <t xml:space="preserve">Data-Driven Marketing, Digital Marketing &amp; Analytics</t>
  </si>
  <si>
    <t xml:space="preserve">NOVA IMS</t>
  </si>
  <si>
    <t xml:space="preserve">Portugal</t>
  </si>
  <si>
    <t xml:space="preserve">Lisbon</t>
  </si>
  <si>
    <t xml:space="preserve">MA Innovation and Technology Management</t>
  </si>
  <si>
    <t xml:space="preserve">University of Tartu</t>
  </si>
  <si>
    <t xml:space="preserve">Estonia</t>
  </si>
  <si>
    <t xml:space="preserve">Tartu</t>
  </si>
  <si>
    <t xml:space="preserve">MA Digital Marketing Communication</t>
  </si>
  <si>
    <t xml:space="preserve">University of Malta</t>
  </si>
  <si>
    <t xml:space="preserve">Malta</t>
  </si>
  <si>
    <t xml:space="preserve">Msida</t>
  </si>
  <si>
    <t xml:space="preserve">MSc Customer Relationship Management</t>
  </si>
  <si>
    <t xml:space="preserve">ASE Bucharest</t>
  </si>
  <si>
    <t xml:space="preserve">Romania</t>
  </si>
  <si>
    <t xml:space="preserve">Bucharest</t>
  </si>
  <si>
    <t xml:space="preserve">Marketing Communications</t>
  </si>
  <si>
    <t xml:space="preserve">UTB Zlin</t>
  </si>
  <si>
    <t xml:space="preserve">Czechia</t>
  </si>
  <si>
    <t xml:space="preserve">Zlin</t>
  </si>
  <si>
    <t xml:space="preserve">MSc Artificial Intelligence (net of automatic award)</t>
  </si>
  <si>
    <t xml:space="preserve">MTU Cork</t>
  </si>
  <si>
    <t xml:space="preserve">Ireland</t>
  </si>
  <si>
    <t xml:space="preserve">Cork</t>
  </si>
  <si>
    <t xml:space="preserve">Direccion de Marketing Digital y Social</t>
  </si>
  <si>
    <t xml:space="preserve">Universidad de Cadiz</t>
  </si>
  <si>
    <t xml:space="preserve">Spain</t>
  </si>
  <si>
    <t xml:space="preserve">Cadiz</t>
  </si>
  <si>
    <t xml:space="preserve">B</t>
  </si>
  <si>
    <t xml:space="preserve">Spanish</t>
  </si>
  <si>
    <t xml:space="preserve">Direccion y Gestion de Marketing Digital</t>
  </si>
  <si>
    <t xml:space="preserve">Universidad de Malaga</t>
  </si>
  <si>
    <t xml:space="preserve">Malaga</t>
  </si>
  <si>
    <t xml:space="preserve">Direzione d Impresa, Marketing e Strategia</t>
  </si>
  <si>
    <t xml:space="preserve">Universita di Torino</t>
  </si>
  <si>
    <t xml:space="preserve">Turin</t>
  </si>
  <si>
    <t xml:space="preserve">Italian</t>
  </si>
  <si>
    <t xml:space="preserve">Popular Music: Music Business and Management</t>
  </si>
  <si>
    <t xml:space="preserve">Universitetet i Agder</t>
  </si>
  <si>
    <t xml:space="preserve">Norway</t>
  </si>
  <si>
    <t xml:space="preserve">Kristiansand</t>
  </si>
  <si>
    <t xml:space="preserve">Master in Digital Transformation</t>
  </si>
  <si>
    <t xml:space="preserve">USN</t>
  </si>
  <si>
    <t xml:space="preserve">Kongsberg</t>
  </si>
  <si>
    <t xml:space="preserve">SDSI - Service Design Strategies &amp; Innovations (if funded)</t>
  </si>
  <si>
    <t xml:space="preserve">Erasmus Mundus consortium</t>
  </si>
  <si>
    <t xml:space="preserve">FI/LV/EE</t>
  </si>
  <si>
    <t xml:space="preserve">various</t>
  </si>
  <si>
    <t xml:space="preserve">Yellow cells: no official cost-of-living figure was found. Enter your own estimate and the total will calculate.</t>
  </si>
  <si>
    <t xml:space="preserve">"EST. TOTAL" shows tuition only where living cost is blank. Visa funds are additional and must be demonstrated, not spent.</t>
  </si>
  <si>
    <t xml:space="preserve">Bologna assumes an ISEE parificato under EUR 27,000. Without it a different non-EU fee schedule applies.</t>
  </si>
  <si>
    <t xml:space="preserve">SDSI shown at zero assuming an Erasmus Mundus scholarship; unfunded it is EUR 8,000/yr.</t>
  </si>
  <si>
    <t xml:space="preserve">All programmes found</t>
  </si>
  <si>
    <t xml:space="preserve">Master's degrees only. Certificates, titulos propios and Italian Master di I livello are on the "Excluded" sheet.</t>
  </si>
  <si>
    <t xml:space="preserve">Direction</t>
  </si>
  <si>
    <t xml:space="preserve">Type</t>
  </si>
  <si>
    <t xml:space="preserve">Tuition (EUR)</t>
  </si>
  <si>
    <t xml:space="preserve">Entry / 146 verdict</t>
  </si>
  <si>
    <t xml:space="preserve">Notes</t>
  </si>
  <si>
    <t xml:space="preserve">D1 AI/data marketing</t>
  </si>
  <si>
    <t xml:space="preserve">Applied sciences</t>
  </si>
  <si>
    <t xml:space="preserve">727/yr</t>
  </si>
  <si>
    <t xml:space="preserve">LIKELY OK — 30 ECTS business subjects</t>
  </si>
  <si>
    <t xml:space="preserve">Free prep course for maths prerequisite</t>
  </si>
  <si>
    <t xml:space="preserve">Data-Driven Marketing, Digital Mktg &amp; Analytics</t>
  </si>
  <si>
    <t xml:space="preserve">Public</t>
  </si>
  <si>
    <t xml:space="preserve">7,500 total</t>
  </si>
  <si>
    <t xml:space="preserve">2027/28 applications open soon</t>
  </si>
  <si>
    <t xml:space="preserve">MSc Econ &amp; Business Admin (Business Data Science)</t>
  </si>
  <si>
    <t xml:space="preserve">7,450/yr</t>
  </si>
  <si>
    <t xml:space="preserve">~15 fully funded awards, automatic consideration</t>
  </si>
  <si>
    <t xml:space="preserve">International Business</t>
  </si>
  <si>
    <t xml:space="preserve">5,385/yr</t>
  </si>
  <si>
    <t xml:space="preserve">LIKELY OK — assessed by years</t>
  </si>
  <si>
    <t xml:space="preserve">Cheapest verified tuition in report</t>
  </si>
  <si>
    <t xml:space="preserve">Business &amp; Digital Analytics</t>
  </si>
  <si>
    <t xml:space="preserve">Uniwersytet Lodzki</t>
  </si>
  <si>
    <t xml:space="preserve">2,500/yr</t>
  </si>
  <si>
    <t xml:space="preserve">Advanced Analytics / Big Data</t>
  </si>
  <si>
    <t xml:space="preserve">SGH Warsaw</t>
  </si>
  <si>
    <t xml:space="preserve">4,600/yr</t>
  </si>
  <si>
    <t xml:space="preserve">Poland's leading business school</t>
  </si>
  <si>
    <t xml:space="preserve">Economic Data Analysis</t>
  </si>
  <si>
    <t xml:space="preserve">VSE Prague</t>
  </si>
  <si>
    <t xml:space="preserve">6,000/yr</t>
  </si>
  <si>
    <t xml:space="preserve">International Strategic Marketing</t>
  </si>
  <si>
    <t xml:space="preserve">ULiege / HEC Liege</t>
  </si>
  <si>
    <t xml:space="preserve">French/English</t>
  </si>
  <si>
    <t xml:space="preserve">5,369/yr</t>
  </si>
  <si>
    <t xml:space="preserve">Publishes a minimum 12/20 average</t>
  </si>
  <si>
    <t xml:space="preserve">MSc Artificial Intelligence</t>
  </si>
  <si>
    <t xml:space="preserve">11,000 net</t>
  </si>
  <si>
    <t xml:space="preserve">BORDERLINE — wants NFQ L8</t>
  </si>
  <si>
    <t xml:space="preserve">Automatic EUR 2,500 award</t>
  </si>
  <si>
    <t xml:space="preserve">MSc Business Analytics</t>
  </si>
  <si>
    <t xml:space="preserve">ATU Sligo</t>
  </si>
  <si>
    <t xml:space="preserve">14,000/yr</t>
  </si>
  <si>
    <t xml:space="preserve">Published RPL route</t>
  </si>
  <si>
    <t xml:space="preserve">Digital Driven Business</t>
  </si>
  <si>
    <t xml:space="preserve">AUAS Amsterdam</t>
  </si>
  <si>
    <t xml:space="preserve">Netherlands</t>
  </si>
  <si>
    <t xml:space="preserve">10,648/yr</t>
  </si>
  <si>
    <t xml:space="preserve">DEPENDS on licence type</t>
  </si>
  <si>
    <t xml:space="preserve">Only if Licence Appliquee</t>
  </si>
  <si>
    <t xml:space="preserve">Digital Marketing and Analytics</t>
  </si>
  <si>
    <t xml:space="preserve">UEF</t>
  </si>
  <si>
    <t xml:space="preserve">Finland</t>
  </si>
  <si>
    <t xml:space="preserve">~7,000 net</t>
  </si>
  <si>
    <t xml:space="preserve">True D1+D2 hybrid</t>
  </si>
  <si>
    <t xml:space="preserve">Marketing y Comportamiento del Consumidor</t>
  </si>
  <si>
    <t xml:space="preserve">UGR / UJA</t>
  </si>
  <si>
    <t xml:space="preserve">~1,300 total</t>
  </si>
  <si>
    <t xml:space="preserve">Andalucia rates</t>
  </si>
  <si>
    <t xml:space="preserve">Marqueting</t>
  </si>
  <si>
    <t xml:space="preserve">UAB Barcelona</t>
  </si>
  <si>
    <t xml:space="preserve">Spanish/Catalan</t>
  </si>
  <si>
    <t xml:space="preserve">Catalonia rates</t>
  </si>
  <si>
    <t xml:space="preserve">D2 Digital marketing</t>
  </si>
  <si>
    <t xml:space="preserve">LIKELY OK — no 180 ECTS rule</t>
  </si>
  <si>
    <t xml:space="preserve">TOP PICK. Deadline 3 Mar</t>
  </si>
  <si>
    <t xml:space="preserve">B2 English via free in-house test</t>
  </si>
  <si>
    <t xml:space="preserve">~2,700/yr</t>
  </si>
  <si>
    <t xml:space="preserve">Entry names marketing as qualifying</t>
  </si>
  <si>
    <t xml:space="preserve">MERCURI (customer relationship marketing)</t>
  </si>
  <si>
    <t xml:space="preserve">UE Katowice + 3</t>
  </si>
  <si>
    <t xml:space="preserve">5,150 total</t>
  </si>
  <si>
    <t xml:space="preserve">Literally demands 180 ECTS. Closest to his CRM project</t>
  </si>
  <si>
    <t xml:space="preserve">4,055/yr</t>
  </si>
  <si>
    <t xml:space="preserve">Trains "specialistes de la relation client"</t>
  </si>
  <si>
    <t xml:space="preserve">M1 Marketing</t>
  </si>
  <si>
    <t xml:space="preserve">Formation initiale only — no alternance trap</t>
  </si>
  <si>
    <t xml:space="preserve">MSc 1 Management -&gt; MSc 2 Marketing &amp; Brand Mgmt</t>
  </si>
  <si>
    <t xml:space="preserve">IAE Aix</t>
  </si>
  <si>
    <t xml:space="preserve">8,400 / 2yr</t>
  </si>
  <si>
    <t xml:space="preserve">Admits bac+3 "or credits" — best wording found</t>
  </si>
  <si>
    <t xml:space="preserve">Marketing Digital</t>
  </si>
  <si>
    <t xml:space="preserve">IAE Nice</t>
  </si>
  <si>
    <t xml:space="preserve">Entry test has no eliminating minimum</t>
  </si>
  <si>
    <t xml:space="preserve">Grenoble IAE</t>
  </si>
  <si>
    <t xml:space="preserve">Three digital M2 exits</t>
  </si>
  <si>
    <t xml:space="preserve">M1 e-Marketing</t>
  </si>
  <si>
    <t xml:space="preserve">IAE Montpellier</t>
  </si>
  <si>
    <t xml:space="preserve">Free public transport in city</t>
  </si>
  <si>
    <t xml:space="preserve">MSc Strategic Digital Marketing</t>
  </si>
  <si>
    <t xml:space="preserve">York St John</t>
  </si>
  <si>
    <t xml:space="preserve">UK</t>
  </si>
  <si>
    <t xml:space="preserve">GBP 11,800</t>
  </si>
  <si>
    <t xml:space="preserve">LIKELY OK — no ECTS rule</t>
  </si>
  <si>
    <t xml:space="preserve">February intake available</t>
  </si>
  <si>
    <t xml:space="preserve">Master en gestion de l'entreprise</t>
  </si>
  <si>
    <t xml:space="preserve">ICHEC Brussels</t>
  </si>
  <si>
    <t xml:space="preserve">Private</t>
  </si>
  <si>
    <t xml:space="preserve">No language test requested</t>
  </si>
  <si>
    <t xml:space="preserve">Digital Marketing (LM-77)</t>
  </si>
  <si>
    <t xml:space="preserve">Universita di Salerno</t>
  </si>
  <si>
    <t xml:space="preserve">ISEE-scaled</t>
  </si>
  <si>
    <t xml:space="preserve">Publicite</t>
  </si>
  <si>
    <t xml:space="preserve">IHECS Brussels</t>
  </si>
  <si>
    <t xml:space="preserve">~1,296 total</t>
  </si>
  <si>
    <t xml:space="preserve">CHEAPEST state master found. File authorisation by 1 Nov</t>
  </si>
  <si>
    <t xml:space="preserve">LM-59</t>
  </si>
  <si>
    <t xml:space="preserve">UNIMORE Reggio Emilia</t>
  </si>
  <si>
    <t xml:space="preserve">Open admission — only 30 ECTS bar</t>
  </si>
  <si>
    <t xml:space="preserve">Comunicacion Digital</t>
  </si>
  <si>
    <t xml:space="preserve">Universidad de Alicante</t>
  </si>
  <si>
    <t xml:space="preserve">Valencia rates</t>
  </si>
  <si>
    <t xml:space="preserve">Partly blended</t>
  </si>
  <si>
    <t xml:space="preserve">C</t>
  </si>
  <si>
    <t xml:space="preserve">Marketingova komunikace (Mgr.)</t>
  </si>
  <si>
    <t xml:space="preserve">Czech</t>
  </si>
  <si>
    <t xml:space="preserve">0</t>
  </si>
  <si>
    <t xml:space="preserve">Free, but not recommended — see funding notes</t>
  </si>
  <si>
    <t xml:space="preserve">D3 Music marketing</t>
  </si>
  <si>
    <t xml:space="preserve">Best route in this direction. M1 entry from L3 gestion</t>
  </si>
  <si>
    <t xml:space="preserve">—</t>
  </si>
  <si>
    <t xml:space="preserve">Creative Management in New Media</t>
  </si>
  <si>
    <t xml:space="preserve">University of Silesia</t>
  </si>
  <si>
    <t xml:space="preserve">3,080/yr</t>
  </si>
  <si>
    <t xml:space="preserve">HARD FAIL</t>
  </si>
  <si>
    <t xml:space="preserve">Needs arts bachelor + portfolio</t>
  </si>
  <si>
    <t xml:space="preserve">D4 Music business</t>
  </si>
  <si>
    <t xml:space="preserve">GIOCA</t>
  </si>
  <si>
    <t xml:space="preserve">157/yr with ISEE</t>
  </si>
  <si>
    <t xml:space="preserve">LIKELY OK — "any discipline, min 3 years"</t>
  </si>
  <si>
    <t xml:space="preserve">25 of 50 places reserved for non-EU</t>
  </si>
  <si>
    <t xml:space="preserve">11,540/yr</t>
  </si>
  <si>
    <t xml:space="preserve">Only music master he can enter as he stands</t>
  </si>
  <si>
    <t xml:space="preserve">IMCC</t>
  </si>
  <si>
    <t xml:space="preserve">Ca' Foscari Venezia</t>
  </si>
  <si>
    <t xml:space="preserve">NOT VERIFIED</t>
  </si>
  <si>
    <t xml:space="preserve">Site was down</t>
  </si>
  <si>
    <t xml:space="preserve">Master en gestion culturelle</t>
  </si>
  <si>
    <t xml:space="preserve">ULB</t>
  </si>
  <si>
    <t xml:space="preserve">No language test</t>
  </si>
  <si>
    <t xml:space="preserve">MOCA (management route)</t>
  </si>
  <si>
    <t xml:space="preserve">UVSQ</t>
  </si>
  <si>
    <t xml:space="preserve">~4,055/yr</t>
  </si>
  <si>
    <t xml:space="preserve">Recommended licences list includes "Gestion"</t>
  </si>
  <si>
    <t xml:space="preserve">MSc International Music Business</t>
  </si>
  <si>
    <t xml:space="preserve">Rennes School of Business</t>
  </si>
  <si>
    <t xml:space="preserve">~11,950 net</t>
  </si>
  <si>
    <t xml:space="preserve">STRETCH. RNCP 7 + CGE, triple accredited</t>
  </si>
  <si>
    <t xml:space="preserve">Country comparison</t>
  </si>
  <si>
    <t xml:space="preserve">Tuition (non-EU)</t>
  </si>
  <si>
    <t xml:space="preserve">Language for him</t>
  </si>
  <si>
    <t xml:space="preserve">146 issue</t>
  </si>
  <si>
    <t xml:space="preserve">Post-study stay</t>
  </si>
  <si>
    <t xml:space="preserve">Visa funds needed</t>
  </si>
  <si>
    <t xml:space="preserve">Verdict</t>
  </si>
  <si>
    <t xml:space="preserve">Austria (right FH)</t>
  </si>
  <si>
    <t xml:space="preserve">EUR 727/yr</t>
  </si>
  <si>
    <t xml:space="preserve">Not counted at all</t>
  </si>
  <si>
    <t xml:space="preserve">12 mo -&gt; Red-White-Red Card</t>
  </si>
  <si>
    <t xml:space="preserve">TOP PICK</t>
  </si>
  <si>
    <t xml:space="preserve">EUR 157-1,000/yr with ISEE</t>
  </si>
  <si>
    <t xml:space="preserve">English or Italian</t>
  </si>
  <si>
    <t xml:space="preserve">Fine — "three years"</t>
  </si>
  <si>
    <t xml:space="preserve">~12 mo</t>
  </si>
  <si>
    <t xml:space="preserve">EUR 4,055/yr</t>
  </si>
  <si>
    <t xml:space="preserve">French — native</t>
  </si>
  <si>
    <t xml:space="preserve">Fine — "Bac+3"</t>
  </si>
  <si>
    <t xml:space="preserve">12 mo APS</t>
  </si>
  <si>
    <t xml:space="preserve">~EUR 14,500</t>
  </si>
  <si>
    <t xml:space="preserve">~EUR 1,300 total</t>
  </si>
  <si>
    <t xml:space="preserve">Spanish (Tier B)</t>
  </si>
  <si>
    <t xml:space="preserve">Fine — "3 years"</t>
  </si>
  <si>
    <t xml:space="preserve">24 mo, no work rights</t>
  </si>
  <si>
    <t xml:space="preserve">Strong, later</t>
  </si>
  <si>
    <t xml:space="preserve">EUR 7,450/yr</t>
  </si>
  <si>
    <t xml:space="preserve">Free binding assessment</t>
  </si>
  <si>
    <t xml:space="preserve">3 yrs but 90 hrs/mo</t>
  </si>
  <si>
    <t xml:space="preserve">Strong</t>
  </si>
  <si>
    <t xml:space="preserve">EUR 5,385/yr</t>
  </si>
  <si>
    <t xml:space="preserve">Fine — assessed by years</t>
  </si>
  <si>
    <t xml:space="preserve">Varies</t>
  </si>
  <si>
    <t xml:space="preserve">~EUR 14,600</t>
  </si>
  <si>
    <t xml:space="preserve">Reopened</t>
  </si>
  <si>
    <t xml:space="preserve">EUR 11,000-14,000/yr</t>
  </si>
  <si>
    <t xml:space="preserve">Borderline — wants NFQ L8</t>
  </si>
  <si>
    <t xml:space="preserve">24 mo, full work rights</t>
  </si>
  <si>
    <t xml:space="preserve">EUR 5,369/yr</t>
  </si>
  <si>
    <t xml:space="preserve">Bridging route exists (60 cr)</t>
  </si>
  <si>
    <t xml:space="preserve">12 mo, full work rights</t>
  </si>
  <si>
    <t xml:space="preserve">EUR 4,000-7,500/yr</t>
  </si>
  <si>
    <t xml:space="preserve">English or Portuguese</t>
  </si>
  <si>
    <t xml:space="preserve">Fine</t>
  </si>
  <si>
    <t xml:space="preserve">Yes</t>
  </si>
  <si>
    <t xml:space="preserve">Good</t>
  </si>
  <si>
    <t xml:space="preserve">~EUR 2,500-7,500 total</t>
  </si>
  <si>
    <t xml:space="preserve">English (B2 now required)</t>
  </si>
  <si>
    <t xml:space="preserve">9 mo</t>
  </si>
  <si>
    <t xml:space="preserve">EUR 2,700/yr, or 0 in Czech</t>
  </si>
  <si>
    <t xml:space="preserve">English or Czech (Tier C)</t>
  </si>
  <si>
    <t xml:space="preserve">9 mo, full access</t>
  </si>
  <si>
    <t xml:space="preserve">Fair</t>
  </si>
  <si>
    <t xml:space="preserve">0 + stipend if funded</t>
  </si>
  <si>
    <t xml:space="preserve">One application</t>
  </si>
  <si>
    <t xml:space="preserve">EUR 7,000-10,000/yr net</t>
  </si>
  <si>
    <t xml:space="preserve">2 yrs any sector — best in Europe</t>
  </si>
  <si>
    <t xml:space="preserve">~EUR 9,600</t>
  </si>
  <si>
    <t xml:space="preserve">Costlier now</t>
  </si>
  <si>
    <t xml:space="preserve">GBP 11,800-23,000/yr</t>
  </si>
  <si>
    <t xml:space="preserve">Does not exist</t>
  </si>
  <si>
    <t xml:space="preserve">18 months from Jan 2027</t>
  </si>
  <si>
    <t xml:space="preserve">GBP 10,539 held</t>
  </si>
  <si>
    <t xml:space="preserve">Three schools only</t>
  </si>
  <si>
    <t xml:space="preserve">Sweden</t>
  </si>
  <si>
    <t xml:space="preserve">High</t>
  </si>
  <si>
    <t xml:space="preserve">Funding closed to Tunisians</t>
  </si>
  <si>
    <t xml:space="preserve">~0-1,500</t>
  </si>
  <si>
    <t xml:space="preserve">German (Tier C)</t>
  </si>
  <si>
    <t xml:space="preserve">Credential fine; GPA blocks</t>
  </si>
  <si>
    <t xml:space="preserve">18 mo</t>
  </si>
  <si>
    <t xml:space="preserve">EUR 11,904</t>
  </si>
  <si>
    <t xml:space="preserve">Deprioritise</t>
  </si>
  <si>
    <t xml:space="preserve">Depends on which licence</t>
  </si>
  <si>
    <t xml:space="preserve">Depends on diploma</t>
  </si>
  <si>
    <t xml:space="preserve">Switzerland</t>
  </si>
  <si>
    <t xml:space="preserve">Blocked — explicit 180 rule</t>
  </si>
  <si>
    <t xml:space="preserve">Closed</t>
  </si>
  <si>
    <t xml:space="preserve">Funding, by deadline</t>
  </si>
  <si>
    <t xml:space="preserve">Most 2027/28 calls are not yet open. Dates show when in the year to look.</t>
  </si>
  <si>
    <t xml:space="preserve">When</t>
  </si>
  <si>
    <t xml:space="preserve">Scheme</t>
  </si>
  <si>
    <t xml:space="preserve">What it covers</t>
  </si>
  <si>
    <t xml:space="preserve">Odds</t>
  </si>
  <si>
    <t xml:space="preserve">Who applies</t>
  </si>
  <si>
    <t xml:space="preserve">~Oct 2026</t>
  </si>
  <si>
    <t xml:space="preserve">MESRS pret (loan)</t>
  </si>
  <si>
    <t xml:space="preserve">Tunisia</t>
  </si>
  <si>
    <t xml:space="preserve">Means-tested loan, 10-yr repayment</t>
  </si>
  <si>
    <t xml:space="preserve">Worth asking</t>
  </si>
  <si>
    <t xml:space="preserve">Student</t>
  </si>
  <si>
    <t xml:space="preserve">The GRANT is closed to him — see notes below</t>
  </si>
  <si>
    <t xml:space="preserve">~1 Oct 2026</t>
  </si>
  <si>
    <t xml:space="preserve">Eiffel campaign opens</t>
  </si>
  <si>
    <t xml:space="preserve">EUR 1,200/mo + automatic fee exemption</t>
  </si>
  <si>
    <t xml:space="preserve">Long-shot</t>
  </si>
  <si>
    <t xml:space="preserve">UNIVERSITY nominates</t>
  </si>
  <si>
    <t xml:space="preserve">Ask the international office in writing, early</t>
  </si>
  <si>
    <t xml:space="preserve">Oct-Dec 2026</t>
  </si>
  <si>
    <t xml:space="preserve">Erasmus Mundus wave opens</t>
  </si>
  <si>
    <t xml:space="preserve">EU</t>
  </si>
  <si>
    <t xml:space="preserve">Tuition + ~EUR 1,400/mo, max 33,600</t>
  </si>
  <si>
    <t xml:space="preserve">~10% cap per nationality — competes vs Tunisians</t>
  </si>
  <si>
    <t xml:space="preserve">~Nov 2026</t>
  </si>
  <si>
    <t xml:space="preserve">Stipendium Hungaricum opens</t>
  </si>
  <si>
    <t xml:space="preserve">Tuition + dorm + HUF 43,700/mo (~EUR 110)</t>
  </si>
  <si>
    <t xml:space="preserve">REALISTIC</t>
  </si>
  <si>
    <t xml:space="preserve">Tunisia holds 250 places, 130 for master's</t>
  </si>
  <si>
    <t xml:space="preserve">~8 Jan 2027</t>
  </si>
  <si>
    <t xml:space="preserve">Eiffel deposit deadline</t>
  </si>
  <si>
    <t xml:space="preserve">University</t>
  </si>
  <si>
    <t xml:space="preserve">Your file must be filed by the university</t>
  </si>
  <si>
    <t xml:space="preserve">~15 Jan 2027</t>
  </si>
  <si>
    <t xml:space="preserve">Stipendium Hungaricum closes</t>
  </si>
  <si>
    <t xml:space="preserve">As above</t>
  </si>
  <si>
    <t xml:space="preserve">2027/28 call not open — date NOT VERIFIED</t>
  </si>
  <si>
    <t xml:space="preserve">Campus France closes</t>
  </si>
  <si>
    <t xml:space="preserve">Not funding — mandatory gate</t>
  </si>
  <si>
    <t xml:space="preserve">Must do</t>
  </si>
  <si>
    <t xml:space="preserve">Earlier than university deadlines. Fee 400 TND</t>
  </si>
  <si>
    <t xml:space="preserve">Jan-Feb 2027</t>
  </si>
  <si>
    <t xml:space="preserve">Most Erasmus Mundus deadlines</t>
  </si>
  <si>
    <t xml:space="preserve">Full funding</t>
  </si>
  <si>
    <t xml:space="preserve">SDSI is the top realistic target</t>
  </si>
  <si>
    <t xml:space="preserve">Feb 2027</t>
  </si>
  <si>
    <t xml:space="preserve">CLIDE opens</t>
  </si>
  <si>
    <t xml:space="preserve">~half the cohort funded</t>
  </si>
  <si>
    <t xml:space="preserve">Latest window — useful if IELTS is late</t>
  </si>
  <si>
    <t xml:space="preserve">3 Mar 2027</t>
  </si>
  <si>
    <t xml:space="preserve">FH Kufstein deadline</t>
  </si>
  <si>
    <t xml:space="preserve">Not funding</t>
  </si>
  <si>
    <t xml:space="preserve">2027 date not yet published</t>
  </si>
  <si>
    <t xml:space="preserve">~26 Mar 2027</t>
  </si>
  <si>
    <t xml:space="preserve">MAECI</t>
  </si>
  <si>
    <t xml:space="preserve">EUR 10,800 / 9 months</t>
  </si>
  <si>
    <t xml:space="preserve">Realistic-stretch</t>
  </si>
  <si>
    <t xml:space="preserve">Age &lt;=28. B2 certificate mandatory</t>
  </si>
  <si>
    <t xml:space="preserve">~May 2027</t>
  </si>
  <si>
    <t xml:space="preserve">NAWA Banach</t>
  </si>
  <si>
    <t xml:space="preserve">Tuition exemption + PLN 2,500/mo + travel</t>
  </si>
  <si>
    <t xml:space="preserve">Tunisia eligible. No field restriction</t>
  </si>
  <si>
    <t xml:space="preserve">23 Jun-24 Aug 2027</t>
  </si>
  <si>
    <t xml:space="preserve">ER-GO regional grant</t>
  </si>
  <si>
    <t xml:space="preserve">EUR 7,171/yr + housing + canteen</t>
  </si>
  <si>
    <t xml:space="preserve">Non-EU explicitly eligible. Stacks with ISEE</t>
  </si>
  <si>
    <t xml:space="preserve">~Jul 2027</t>
  </si>
  <si>
    <t xml:space="preserve">AECID Africa-Med</t>
  </si>
  <si>
    <t xml:space="preserve">Master funding</t>
  </si>
  <si>
    <t xml:space="preserve">Stretch</t>
  </si>
  <si>
    <t xml:space="preserve">May be restricted to public employees — NOT VERIFIED</t>
  </si>
  <si>
    <t xml:space="preserve">~30 Oct 2027</t>
  </si>
  <si>
    <t xml:space="preserve">ISEE filing</t>
  </si>
  <si>
    <t xml:space="preserve">Fee exemption — the single biggest lever</t>
  </si>
  <si>
    <t xml:space="preserve">ISEE &lt;=27,000 -&gt; tuition EUR 0 at Bologna</t>
  </si>
  <si>
    <t xml:space="preserve">1 Nov 2027</t>
  </si>
  <si>
    <t xml:space="preserve">Andalucia authorisation filing</t>
  </si>
  <si>
    <t xml:space="preserve">Avoids being billed 100% of real cost</t>
  </si>
  <si>
    <t xml:space="preserve">Hard deadline with a severe penalty</t>
  </si>
  <si>
    <t xml:space="preserve">CLOSED TO HIM — verified, do not chase</t>
  </si>
  <si>
    <t xml:space="preserve">Tunisian MESRS bourse (the grant)</t>
  </si>
  <si>
    <t xml:space="preserve">Circulaire 61/25: 10 EU places, STEM fields only, age &lt;=24, must be currently enrolled in licence year 3, research master's only, 12.5/20 floor. He fails at least five conditions.</t>
  </si>
  <si>
    <t xml:space="preserve">Islamic Development Bank</t>
  </si>
  <si>
    <t xml:space="preserve">M.Sc. programme is Least Developed Member Countries only — Tunisia is not one</t>
  </si>
  <si>
    <t xml:space="preserve">Swedish Institute</t>
  </si>
  <si>
    <t xml:space="preserve">Tunisia is not among the 34 eligible countries (Egypt and Morocco are)</t>
  </si>
  <si>
    <t xml:space="preserve">Austria — Ernst Mach / Erhard Busek</t>
  </si>
  <si>
    <t xml:space="preserve">Ernst Mach does not fund full FH degrees; Erhard Busek is suspended. Austria must be self-funded</t>
  </si>
  <si>
    <t xml:space="preserve">Aga Khan Foundation ISP</t>
  </si>
  <si>
    <t xml:space="preserve">No Tunisia office</t>
  </si>
  <si>
    <t xml:space="preserve">Mastercard Foundation</t>
  </si>
  <si>
    <t xml:space="preserve">In Europe only Sciences Po, Oxford, Cambridge participate — all too selective</t>
  </si>
  <si>
    <t xml:space="preserve">Chevening / DAAD EPOS</t>
  </si>
  <si>
    <t xml:space="preserve">Both need 2 years' work experience — open to him around 2029</t>
  </si>
  <si>
    <t xml:space="preserve">Visegrad Fund / Czech govt / Open Society</t>
  </si>
  <si>
    <t xml:space="preserve">Not eligible / wound down in 2021</t>
  </si>
  <si>
    <t xml:space="preserve">Action plan — working back from autumn 2027</t>
  </si>
  <si>
    <t xml:space="preserve">Action</t>
  </si>
  <si>
    <t xml:space="preserve">Why it matters</t>
  </si>
  <si>
    <t xml:space="preserve">Done?</t>
  </si>
  <si>
    <t xml:space="preserve">Next 2 weeks</t>
  </si>
  <si>
    <t xml:space="preserve">Read your diploma — Fondamentale or Appliquee?</t>
  </si>
  <si>
    <t xml:space="preserve">Decides the Netherlands. Germany rates them the opposite way round</t>
  </si>
  <si>
    <t xml:space="preserve">Confirm you hold the diploma, not just a transcript</t>
  </si>
  <si>
    <t xml:space="preserve">The only scenario where 146 is a real problem</t>
  </si>
  <si>
    <t xml:space="preserve">Book IELTS Academic in Sousse (~700 TND), target 6.5</t>
  </si>
  <si>
    <t xml:space="preserve">Your single binding constraint. No waiver exists for you</t>
  </si>
  <si>
    <t xml:space="preserve">Email FSEG for the 180-credit attestation + supplement au diplome</t>
  </si>
  <si>
    <t xml:space="preserve">Free. Defuses the 146 objection almost everywhere</t>
  </si>
  <si>
    <t xml:space="preserve">Run NARIC Ireland free check; Denmark's is free and binding</t>
  </si>
  <si>
    <t xml:space="preserve">Settles your genuine borderline case before you spend applications</t>
  </si>
  <si>
    <t xml:space="preserve">Sept 2026</t>
  </si>
  <si>
    <t xml:space="preserve">Publish the CRM project as a documented GitHub repo</t>
  </si>
  <si>
    <t xml:space="preserve">Turns a transcript line into a link you can send</t>
  </si>
  <si>
    <t xml:space="preserve">Start SQL, Python, GA4, a CDP and one BI tool</t>
  </si>
  <si>
    <t xml:space="preserve">Moves you from "marketing graduate" to "marketing data analyst"</t>
  </si>
  <si>
    <t xml:space="preserve">Start Spanish ONLY if targeting 2028</t>
  </si>
  <si>
    <t xml:space="preserve">No new language reliably unlocks 2027</t>
  </si>
  <si>
    <t xml:space="preserve">Oct 2026</t>
  </si>
  <si>
    <t xml:space="preserve">Campus France opens — book the Sousse interview early</t>
  </si>
  <si>
    <t xml:space="preserve">Mandatory and closes before university deadlines</t>
  </si>
  <si>
    <t xml:space="preserve">Ask French universities in writing to nominate you for Eiffel</t>
  </si>
  <si>
    <t xml:space="preserve">You cannot apply yourself — the institution must</t>
  </si>
  <si>
    <t xml:space="preserve">Nov-Dec 2026</t>
  </si>
  <si>
    <t xml:space="preserve">Apply Erasmus Mundus: SDSI first, then CLIDE</t>
  </si>
  <si>
    <t xml:space="preserve">SDSI has no GPA floor, IELTS 5.5, places reserved for Tunisia</t>
  </si>
  <si>
    <t xml:space="preserve">Order French credential evaluation ONLY if a programme demands it</t>
  </si>
  <si>
    <t xml:space="preserve">EUR 120 and takes 4-6 months — cannot be rushed</t>
  </si>
  <si>
    <t xml:space="preserve">Jan 2027</t>
  </si>
  <si>
    <t xml:space="preserve">Campus France closes ~15 Jan</t>
  </si>
  <si>
    <t xml:space="preserve">Missing it removes France entirely</t>
  </si>
  <si>
    <t xml:space="preserve">Mar 2027</t>
  </si>
  <si>
    <t xml:space="preserve">Your cheapest and most open option</t>
  </si>
  <si>
    <t xml:space="preserve">Spring 2027</t>
  </si>
  <si>
    <t xml:space="preserve">Apply for French means-based fee exemption if admitted</t>
  </si>
  <si>
    <t xml:space="preserve">Still available after the May 2026 decree</t>
  </si>
  <si>
    <t xml:space="preserve">Jun-Aug 2027</t>
  </si>
  <si>
    <t xml:space="preserve">ER-GO grant window if going to Bologna</t>
  </si>
  <si>
    <t xml:space="preserve">EUR 7,171/yr, stacks on near-zero ISEE fees</t>
  </si>
  <si>
    <t xml:space="preserve">Summer 2027</t>
  </si>
  <si>
    <t xml:space="preserve">Assemble visa funds — France ~EUR 14,500, Norway ~EUR 14,600</t>
  </si>
  <si>
    <t xml:space="preserve">Bigger than tuition. Plan months ahead</t>
  </si>
  <si>
    <t xml:space="preserve">Autumn 2027</t>
  </si>
  <si>
    <t xml:space="preserve">Italy: file ISEE by ~30 Oct. Spain: file authorisation by 1 Nov</t>
  </si>
  <si>
    <t xml:space="preserve">Missing either costs real money</t>
  </si>
  <si>
    <t xml:space="preserve">Checked and excluded — so you do not rediscover them</t>
  </si>
  <si>
    <t xml:space="preserve">What</t>
  </si>
  <si>
    <t xml:space="preserve">Why excluded</t>
  </si>
  <si>
    <t xml:space="preserve">Every Italian "music business master" — LUISS BS, Sapienza MMCM, Roma Tre, IULM, 24ORE</t>
  </si>
  <si>
    <t xml:space="preserve">All Master di I livello: 1 year, 60-65 CFU. Not a second-cycle degree</t>
  </si>
  <si>
    <t xml:space="preserve">Nearly every Spanish "master en industria musical" — UC3M, IL3-UB, UAM, SAE</t>
  </si>
  <si>
    <t xml:space="preserve">Formacion permanente / titulo propio. Likely fails the EQF-6 test for Spain's post-study permit</t>
  </si>
  <si>
    <t xml:space="preserve">Every French Mastere Specialise, without exception</t>
  </si>
  <si>
    <t xml:space="preserve">CGE rules require Bac+5 (or Bac+4 + 3 years). He holds Bac+3. Not a diplome national; confers no grade de master</t>
  </si>
  <si>
    <t xml:space="preserve">Berklee Valencia</t>
  </si>
  <si>
    <t xml:space="preserve">~EUR 48,000</t>
  </si>
  <si>
    <t xml:space="preserve">Uniarts Helsinki MA Music Business</t>
  </si>
  <si>
    <t xml:space="preserve">Perfect subject fit, EUR 28,000/yr, verified zero scholarships</t>
  </si>
  <si>
    <t xml:space="preserve">UK music-business master's generally</t>
  </si>
  <si>
    <t xml:space="preserve">GBP 16,000-31,900. Only Westminster survives as a stretch</t>
  </si>
  <si>
    <t xml:space="preserve">Popakademie, BIMM, Catalyst Berlin, SAE, ICMP, Saint Louis Rome</t>
  </si>
  <si>
    <t xml:space="preserve">Fail on accreditation, price, or both</t>
  </si>
  <si>
    <t xml:space="preserve">Rome Business School</t>
  </si>
  <si>
    <t xml:space="preserve">Awards a Spanish titulo propio, not an Italian degree</t>
  </si>
  <si>
    <t xml:space="preserve">EU Business School</t>
  </si>
  <si>
    <t xml:space="preserve">Rated H- by Germany's anabin</t>
  </si>
  <si>
    <t xml:space="preserve">BSBI Berlin</t>
  </si>
  <si>
    <t xml:space="preserve">Awards no German degree</t>
  </si>
  <si>
    <t xml:space="preserve">IMB Barcelona</t>
  </si>
  <si>
    <t xml:space="preserve">EUNEIZ titulo propio</t>
  </si>
  <si>
    <t xml:space="preserve">ISEG</t>
  </si>
  <si>
    <t xml:space="preserve">RNCP titles valid but no grade, no visa, not CGE, no AACSB/EQUIS/AMBA, and bac+5 tracks are alternance-only</t>
  </si>
  <si>
    <t xml:space="preserve">ESSCA</t>
  </si>
  <si>
    <t xml:space="preserve">Requires a 4-year bachelor or 3 years' experience</t>
  </si>
  <si>
    <t xml:space="preserve">All AI/data Erasmus Mundus programmes</t>
  </si>
  <si>
    <t xml:space="preserve">Every one requires a CS, engineering or maths first degree</t>
  </si>
  <si>
    <t xml:space="preserve">EMMIE (Erasmus Mundus)</t>
  </si>
  <si>
    <t xml:space="preserve">Requires 240 ECTS — unrecoverable</t>
  </si>
  <si>
    <t xml:space="preserve">Queen's Belfast (GBP 23,000) and Ulster (GBP 18,310)</t>
  </si>
  <si>
    <t xml:space="preserve">Northern Ireland is not the cheap UK route it appears to be</t>
  </si>
  <si>
    <t xml:space="preserve">Finnish universities of applied sciences</t>
  </si>
  <si>
    <t xml:space="preserve">Require 2 years' relevant work experience</t>
  </si>
  <si>
    <t xml:space="preserve">Explicit "at least 3 years, at least 180 ECTS", applied strictly</t>
  </si>
  <si>
    <t xml:space="preserve">German Studienkolleg</t>
  </si>
  <si>
    <t xml:space="preserve">Bachelor entry only — irrelevant to master's applicants</t>
  </si>
  <si>
    <t xml:space="preserve">IAE Lille, IAE Caen, Paris-Saclay (free M1 routes)</t>
  </si>
  <si>
    <t xml:space="preserve">Require a signed French apprenticeship contract before enrolment — unobtainable pre-visa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</si>
</sst>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3</v>
      </c>
    </row>
    <row r="8" customFormat="false" ht="15" hidden="false" customHeight="false" outlineLevel="0" collapsed="false">
      <c r="A8" s="2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6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7</v>
      </c>
    </row>
    <row r="14" customFormat="false" ht="15" hidden="false" customHeight="false" outlineLevel="0" collapsed="false">
      <c r="A14" s="2" t="s">
        <v>8</v>
      </c>
    </row>
    <row r="15" customFormat="false" ht="15" hidden="false" customHeight="false" outlineLevel="0" collapsed="false">
      <c r="A15" s="2" t="s">
        <v>9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10</v>
      </c>
    </row>
    <row r="18" customFormat="false" ht="15" hidden="false" customHeight="false" outlineLevel="0" collapsed="false">
      <c r="A18" s="3" t="s">
        <v>11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12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13</v>
      </c>
    </row>
    <row r="23" customFormat="false" ht="15" hidden="false" customHeight="false" outlineLevel="0" collapsed="false">
      <c r="A23" s="2" t="s">
        <v>14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 t="s">
        <v>15</v>
      </c>
    </row>
    <row r="26" customFormat="false" ht="15" hidden="false" customHeight="false" outlineLevel="0" collapsed="false">
      <c r="A26" s="2" t="s">
        <v>16</v>
      </c>
    </row>
    <row r="27" customFormat="false" ht="15" hidden="false" customHeight="false" outlineLevel="0" collapsed="false">
      <c r="A27" s="2" t="s">
        <v>17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2" t="s">
        <v>18</v>
      </c>
    </row>
    <row r="30" customFormat="false" ht="15" hidden="false" customHeight="false" outlineLevel="0" collapsed="false">
      <c r="A30" s="2" t="s">
        <v>19</v>
      </c>
    </row>
    <row r="31" customFormat="false" ht="15" hidden="false" customHeight="false" outlineLevel="0" collapsed="false">
      <c r="A31" s="2" t="s">
        <v>20</v>
      </c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3" t="s">
        <v>21</v>
      </c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2" t="s">
        <v>22</v>
      </c>
    </row>
    <row r="36" customFormat="false" ht="15" hidden="false" customHeight="false" outlineLevel="0" collapsed="false">
      <c r="A36" s="2" t="s">
        <v>23</v>
      </c>
    </row>
    <row r="37" customFormat="false" ht="15" hidden="false" customHeight="false" outlineLevel="0" collapsed="false">
      <c r="A37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7"/>
    <col collapsed="false" customWidth="true" hidden="false" outlineLevel="0" max="11" min="11" style="0" width="14"/>
    <col collapsed="false" customWidth="true" hidden="false" outlineLevel="0" max="13" min="12" style="0" width="15"/>
    <col collapsed="false" customWidth="true" hidden="false" outlineLevel="0" max="15" min="14" style="0" width="16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</row>
    <row r="4" customFormat="false" ht="30" hidden="false" customHeight="true" outlineLevel="0" collapsed="false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  <c r="P4" s="5" t="s">
        <v>42</v>
      </c>
    </row>
    <row r="5" customFormat="false" ht="15" hidden="false" customHeight="false" outlineLevel="0" collapsed="false">
      <c r="A5" s="6" t="n">
        <v>1</v>
      </c>
      <c r="B5" s="7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  <c r="I5" s="8" t="n">
        <v>0</v>
      </c>
      <c r="J5" s="9" t="n">
        <v>2</v>
      </c>
      <c r="K5" s="9" t="n">
        <v>490</v>
      </c>
      <c r="L5" s="10" t="n">
        <f aca="false">I5*J5</f>
        <v>0</v>
      </c>
      <c r="M5" s="10" t="n">
        <f aca="false">IF(K5="","",K5*12*J5)</f>
        <v>11760</v>
      </c>
      <c r="N5" s="11" t="n">
        <f aca="false">IF(K5="",L5,L5+M5)</f>
        <v>11760</v>
      </c>
      <c r="O5" s="8"/>
      <c r="P5" s="6" t="s">
        <v>50</v>
      </c>
    </row>
    <row r="6" customFormat="false" ht="15" hidden="false" customHeight="false" outlineLevel="0" collapsed="false">
      <c r="A6" s="6" t="n">
        <v>2</v>
      </c>
      <c r="B6" s="7" t="s">
        <v>51</v>
      </c>
      <c r="C6" s="6" t="s">
        <v>52</v>
      </c>
      <c r="D6" s="6" t="s">
        <v>53</v>
      </c>
      <c r="E6" s="6" t="s">
        <v>54</v>
      </c>
      <c r="F6" s="6" t="s">
        <v>47</v>
      </c>
      <c r="G6" s="6" t="s">
        <v>48</v>
      </c>
      <c r="H6" s="6" t="s">
        <v>49</v>
      </c>
      <c r="I6" s="8" t="n">
        <v>0</v>
      </c>
      <c r="J6" s="9" t="n">
        <v>2</v>
      </c>
      <c r="K6" s="12"/>
      <c r="L6" s="10" t="n">
        <f aca="false">I6*J6</f>
        <v>0</v>
      </c>
      <c r="M6" s="10" t="str">
        <f aca="false">IF(K6="","",K6*12*J6)</f>
        <v/>
      </c>
      <c r="N6" s="11" t="n">
        <f aca="false">IF(K6="",L6,L6+M6)</f>
        <v>0</v>
      </c>
      <c r="O6" s="8" t="n">
        <v>11904</v>
      </c>
      <c r="P6" s="6" t="s">
        <v>50</v>
      </c>
    </row>
    <row r="7" customFormat="false" ht="15" hidden="false" customHeight="false" outlineLevel="0" collapsed="false">
      <c r="A7" s="6" t="n">
        <v>3</v>
      </c>
      <c r="B7" s="7" t="s">
        <v>55</v>
      </c>
      <c r="C7" s="6" t="s">
        <v>56</v>
      </c>
      <c r="D7" s="6" t="s">
        <v>57</v>
      </c>
      <c r="E7" s="6" t="s">
        <v>58</v>
      </c>
      <c r="F7" s="6" t="s">
        <v>59</v>
      </c>
      <c r="G7" s="6" t="s">
        <v>48</v>
      </c>
      <c r="H7" s="6" t="s">
        <v>49</v>
      </c>
      <c r="I7" s="8" t="n">
        <v>7400</v>
      </c>
      <c r="J7" s="9" t="n">
        <v>2</v>
      </c>
      <c r="K7" s="9" t="n">
        <v>700</v>
      </c>
      <c r="L7" s="10" t="n">
        <f aca="false">I7*J7</f>
        <v>14800</v>
      </c>
      <c r="M7" s="10" t="n">
        <f aca="false">IF(K7="","",K7*12*J7)</f>
        <v>16800</v>
      </c>
      <c r="N7" s="11" t="n">
        <f aca="false">IF(K7="",L7,L7+M7)</f>
        <v>31600</v>
      </c>
      <c r="O7" s="8"/>
      <c r="P7" s="6" t="s">
        <v>50</v>
      </c>
    </row>
    <row r="8" customFormat="false" ht="15" hidden="false" customHeight="false" outlineLevel="0" collapsed="false">
      <c r="A8" s="6" t="n">
        <v>4</v>
      </c>
      <c r="B8" s="7" t="s">
        <v>60</v>
      </c>
      <c r="C8" s="6" t="s">
        <v>56</v>
      </c>
      <c r="D8" s="6" t="s">
        <v>57</v>
      </c>
      <c r="E8" s="6" t="s">
        <v>58</v>
      </c>
      <c r="F8" s="6" t="s">
        <v>59</v>
      </c>
      <c r="G8" s="6" t="s">
        <v>48</v>
      </c>
      <c r="H8" s="6" t="s">
        <v>49</v>
      </c>
      <c r="I8" s="8" t="n">
        <v>0</v>
      </c>
      <c r="J8" s="9" t="n">
        <v>2</v>
      </c>
      <c r="K8" s="9" t="n">
        <v>700</v>
      </c>
      <c r="L8" s="10" t="n">
        <f aca="false">I8*J8</f>
        <v>0</v>
      </c>
      <c r="M8" s="10" t="n">
        <f aca="false">IF(K8="","",K8*12*J8)</f>
        <v>16800</v>
      </c>
      <c r="N8" s="11" t="n">
        <f aca="false">IF(K8="",L8,L8+M8)</f>
        <v>16800</v>
      </c>
      <c r="O8" s="8"/>
      <c r="P8" s="6" t="s">
        <v>50</v>
      </c>
    </row>
    <row r="9" customFormat="false" ht="15" hidden="false" customHeight="false" outlineLevel="0" collapsed="false">
      <c r="A9" s="6" t="n">
        <v>5</v>
      </c>
      <c r="B9" s="7" t="s">
        <v>61</v>
      </c>
      <c r="C9" s="6" t="s">
        <v>62</v>
      </c>
      <c r="D9" s="6" t="s">
        <v>63</v>
      </c>
      <c r="E9" s="6" t="s">
        <v>64</v>
      </c>
      <c r="F9" s="6" t="s">
        <v>65</v>
      </c>
      <c r="G9" s="6" t="s">
        <v>48</v>
      </c>
      <c r="H9" s="6" t="s">
        <v>49</v>
      </c>
      <c r="I9" s="8" t="n">
        <v>157</v>
      </c>
      <c r="J9" s="9" t="n">
        <v>2</v>
      </c>
      <c r="K9" s="12"/>
      <c r="L9" s="10" t="n">
        <f aca="false">I9*J9</f>
        <v>314</v>
      </c>
      <c r="M9" s="10" t="str">
        <f aca="false">IF(K9="","",K9*12*J9)</f>
        <v/>
      </c>
      <c r="N9" s="11" t="n">
        <f aca="false">IF(K9="",L9,L9+M9)</f>
        <v>314</v>
      </c>
      <c r="O9" s="8"/>
      <c r="P9" s="6" t="s">
        <v>50</v>
      </c>
    </row>
    <row r="10" customFormat="false" ht="15" hidden="false" customHeight="false" outlineLevel="0" collapsed="false">
      <c r="A10" s="6" t="n">
        <v>6</v>
      </c>
      <c r="B10" s="7" t="s">
        <v>66</v>
      </c>
      <c r="C10" s="6" t="s">
        <v>67</v>
      </c>
      <c r="D10" s="6" t="s">
        <v>53</v>
      </c>
      <c r="E10" s="6" t="s">
        <v>68</v>
      </c>
      <c r="F10" s="6" t="s">
        <v>47</v>
      </c>
      <c r="G10" s="6" t="s">
        <v>48</v>
      </c>
      <c r="H10" s="6" t="s">
        <v>49</v>
      </c>
      <c r="I10" s="8" t="n">
        <v>176</v>
      </c>
      <c r="J10" s="9" t="n">
        <v>2</v>
      </c>
      <c r="K10" s="12"/>
      <c r="L10" s="10" t="n">
        <f aca="false">I10*J10</f>
        <v>352</v>
      </c>
      <c r="M10" s="10" t="str">
        <f aca="false">IF(K10="","",K10*12*J10)</f>
        <v/>
      </c>
      <c r="N10" s="11" t="n">
        <f aca="false">IF(K10="",L10,L10+M10)</f>
        <v>352</v>
      </c>
      <c r="O10" s="8" t="n">
        <v>11904</v>
      </c>
      <c r="P10" s="6" t="s">
        <v>50</v>
      </c>
    </row>
    <row r="11" customFormat="false" ht="15" hidden="false" customHeight="false" outlineLevel="0" collapsed="false">
      <c r="A11" s="6" t="n">
        <v>7</v>
      </c>
      <c r="B11" s="7" t="s">
        <v>69</v>
      </c>
      <c r="C11" s="6" t="s">
        <v>70</v>
      </c>
      <c r="D11" s="6" t="s">
        <v>71</v>
      </c>
      <c r="E11" s="6" t="s">
        <v>72</v>
      </c>
      <c r="F11" s="6" t="s">
        <v>73</v>
      </c>
      <c r="G11" s="6" t="s">
        <v>48</v>
      </c>
      <c r="H11" s="6" t="s">
        <v>49</v>
      </c>
      <c r="I11" s="8" t="n">
        <v>727</v>
      </c>
      <c r="J11" s="9" t="n">
        <v>2</v>
      </c>
      <c r="K11" s="12"/>
      <c r="L11" s="10" t="n">
        <f aca="false">I11*J11</f>
        <v>1454</v>
      </c>
      <c r="M11" s="10" t="str">
        <f aca="false">IF(K11="","",K11*12*J11)</f>
        <v/>
      </c>
      <c r="N11" s="11" t="n">
        <f aca="false">IF(K11="",L11,L11+M11)</f>
        <v>1454</v>
      </c>
      <c r="O11" s="8"/>
      <c r="P11" s="6" t="s">
        <v>50</v>
      </c>
    </row>
    <row r="12" customFormat="false" ht="15" hidden="false" customHeight="false" outlineLevel="0" collapsed="false">
      <c r="A12" s="6" t="n">
        <v>8</v>
      </c>
      <c r="B12" s="7" t="s">
        <v>74</v>
      </c>
      <c r="C12" s="6" t="s">
        <v>70</v>
      </c>
      <c r="D12" s="6" t="s">
        <v>71</v>
      </c>
      <c r="E12" s="6" t="s">
        <v>72</v>
      </c>
      <c r="F12" s="6" t="s">
        <v>59</v>
      </c>
      <c r="G12" s="6" t="s">
        <v>48</v>
      </c>
      <c r="H12" s="6" t="s">
        <v>49</v>
      </c>
      <c r="I12" s="8" t="n">
        <v>727</v>
      </c>
      <c r="J12" s="9" t="n">
        <v>2</v>
      </c>
      <c r="K12" s="12"/>
      <c r="L12" s="10" t="n">
        <f aca="false">I12*J12</f>
        <v>1454</v>
      </c>
      <c r="M12" s="10" t="str">
        <f aca="false">IF(K12="","",K12*12*J12)</f>
        <v/>
      </c>
      <c r="N12" s="11" t="n">
        <f aca="false">IF(K12="",L12,L12+M12)</f>
        <v>1454</v>
      </c>
      <c r="O12" s="8"/>
      <c r="P12" s="6" t="s">
        <v>50</v>
      </c>
    </row>
    <row r="13" customFormat="false" ht="15" hidden="false" customHeight="false" outlineLevel="0" collapsed="false">
      <c r="A13" s="6" t="n">
        <v>9</v>
      </c>
      <c r="B13" s="7" t="s">
        <v>75</v>
      </c>
      <c r="C13" s="6" t="s">
        <v>76</v>
      </c>
      <c r="D13" s="6" t="s">
        <v>63</v>
      </c>
      <c r="E13" s="6" t="s">
        <v>77</v>
      </c>
      <c r="F13" s="6" t="s">
        <v>59</v>
      </c>
      <c r="G13" s="6" t="s">
        <v>48</v>
      </c>
      <c r="H13" s="6" t="s">
        <v>49</v>
      </c>
      <c r="I13" s="8" t="n">
        <v>346</v>
      </c>
      <c r="J13" s="9" t="n">
        <v>2</v>
      </c>
      <c r="K13" s="12"/>
      <c r="L13" s="10" t="n">
        <f aca="false">I13*J13</f>
        <v>692</v>
      </c>
      <c r="M13" s="10" t="str">
        <f aca="false">IF(K13="","",K13*12*J13)</f>
        <v/>
      </c>
      <c r="N13" s="11" t="n">
        <f aca="false">IF(K13="",L13,L13+M13)</f>
        <v>692</v>
      </c>
      <c r="O13" s="8"/>
      <c r="P13" s="6" t="s">
        <v>50</v>
      </c>
    </row>
    <row r="14" customFormat="false" ht="15" hidden="false" customHeight="false" outlineLevel="0" collapsed="false">
      <c r="A14" s="6" t="n">
        <v>10</v>
      </c>
      <c r="B14" s="7" t="s">
        <v>78</v>
      </c>
      <c r="C14" s="6" t="s">
        <v>79</v>
      </c>
      <c r="D14" s="6" t="s">
        <v>63</v>
      </c>
      <c r="E14" s="6" t="s">
        <v>80</v>
      </c>
      <c r="F14" s="6" t="s">
        <v>59</v>
      </c>
      <c r="G14" s="6" t="s">
        <v>48</v>
      </c>
      <c r="H14" s="6" t="s">
        <v>49</v>
      </c>
      <c r="I14" s="8" t="n">
        <v>390</v>
      </c>
      <c r="J14" s="9" t="n">
        <v>2</v>
      </c>
      <c r="K14" s="12"/>
      <c r="L14" s="10" t="n">
        <f aca="false">I14*J14</f>
        <v>780</v>
      </c>
      <c r="M14" s="10" t="str">
        <f aca="false">IF(K14="","",K14*12*J14)</f>
        <v/>
      </c>
      <c r="N14" s="11" t="n">
        <f aca="false">IF(K14="",L14,L14+M14)</f>
        <v>780</v>
      </c>
      <c r="O14" s="8"/>
      <c r="P14" s="6" t="s">
        <v>50</v>
      </c>
    </row>
    <row r="15" customFormat="false" ht="15" hidden="false" customHeight="false" outlineLevel="0" collapsed="false">
      <c r="A15" s="6" t="n">
        <v>11</v>
      </c>
      <c r="B15" s="7" t="s">
        <v>81</v>
      </c>
      <c r="C15" s="6" t="s">
        <v>82</v>
      </c>
      <c r="D15" s="6" t="s">
        <v>63</v>
      </c>
      <c r="E15" s="6" t="s">
        <v>83</v>
      </c>
      <c r="F15" s="6" t="s">
        <v>59</v>
      </c>
      <c r="G15" s="6" t="s">
        <v>48</v>
      </c>
      <c r="H15" s="6" t="s">
        <v>49</v>
      </c>
      <c r="I15" s="8" t="n">
        <v>400</v>
      </c>
      <c r="J15" s="9" t="n">
        <v>2</v>
      </c>
      <c r="K15" s="12"/>
      <c r="L15" s="10" t="n">
        <f aca="false">I15*J15</f>
        <v>800</v>
      </c>
      <c r="M15" s="10" t="str">
        <f aca="false">IF(K15="","",K15*12*J15)</f>
        <v/>
      </c>
      <c r="N15" s="11" t="n">
        <f aca="false">IF(K15="",L15,L15+M15)</f>
        <v>800</v>
      </c>
      <c r="O15" s="8"/>
      <c r="P15" s="6" t="s">
        <v>50</v>
      </c>
    </row>
    <row r="16" customFormat="false" ht="15" hidden="false" customHeight="false" outlineLevel="0" collapsed="false">
      <c r="A16" s="6" t="n">
        <v>12</v>
      </c>
      <c r="B16" s="7" t="s">
        <v>84</v>
      </c>
      <c r="C16" s="6" t="s">
        <v>85</v>
      </c>
      <c r="D16" s="6" t="s">
        <v>86</v>
      </c>
      <c r="E16" s="6" t="s">
        <v>87</v>
      </c>
      <c r="F16" s="6" t="s">
        <v>73</v>
      </c>
      <c r="G16" s="6" t="s">
        <v>48</v>
      </c>
      <c r="H16" s="6" t="s">
        <v>88</v>
      </c>
      <c r="I16" s="8" t="n">
        <v>4055</v>
      </c>
      <c r="J16" s="9" t="n">
        <v>2</v>
      </c>
      <c r="K16" s="9" t="n">
        <v>1250</v>
      </c>
      <c r="L16" s="10" t="n">
        <f aca="false">I16*J16</f>
        <v>8110</v>
      </c>
      <c r="M16" s="10" t="n">
        <f aca="false">IF(K16="","",K16*12*J16)</f>
        <v>30000</v>
      </c>
      <c r="N16" s="11" t="n">
        <f aca="false">IF(K16="",L16,L16+M16)</f>
        <v>38110</v>
      </c>
      <c r="O16" s="8" t="n">
        <v>14500</v>
      </c>
      <c r="P16" s="6" t="s">
        <v>50</v>
      </c>
    </row>
    <row r="17" customFormat="false" ht="15" hidden="false" customHeight="false" outlineLevel="0" collapsed="false">
      <c r="A17" s="6" t="n">
        <v>13</v>
      </c>
      <c r="B17" s="7" t="s">
        <v>89</v>
      </c>
      <c r="C17" s="6" t="s">
        <v>90</v>
      </c>
      <c r="D17" s="6" t="s">
        <v>86</v>
      </c>
      <c r="E17" s="6" t="s">
        <v>91</v>
      </c>
      <c r="F17" s="6" t="s">
        <v>73</v>
      </c>
      <c r="G17" s="6" t="s">
        <v>48</v>
      </c>
      <c r="H17" s="6" t="s">
        <v>88</v>
      </c>
      <c r="I17" s="8" t="n">
        <v>4055</v>
      </c>
      <c r="J17" s="9" t="n">
        <v>2</v>
      </c>
      <c r="K17" s="9" t="n">
        <v>1324</v>
      </c>
      <c r="L17" s="10" t="n">
        <f aca="false">I17*J17</f>
        <v>8110</v>
      </c>
      <c r="M17" s="10" t="n">
        <f aca="false">IF(K17="","",K17*12*J17)</f>
        <v>31776</v>
      </c>
      <c r="N17" s="11" t="n">
        <f aca="false">IF(K17="",L17,L17+M17)</f>
        <v>39886</v>
      </c>
      <c r="O17" s="8" t="n">
        <v>14500</v>
      </c>
      <c r="P17" s="6" t="s">
        <v>50</v>
      </c>
    </row>
    <row r="18" customFormat="false" ht="15" hidden="false" customHeight="false" outlineLevel="0" collapsed="false">
      <c r="A18" s="6" t="n">
        <v>14</v>
      </c>
      <c r="B18" s="7" t="s">
        <v>92</v>
      </c>
      <c r="C18" s="6" t="s">
        <v>93</v>
      </c>
      <c r="D18" s="6" t="s">
        <v>86</v>
      </c>
      <c r="E18" s="6" t="s">
        <v>94</v>
      </c>
      <c r="F18" s="6" t="s">
        <v>73</v>
      </c>
      <c r="G18" s="6" t="s">
        <v>48</v>
      </c>
      <c r="H18" s="6" t="s">
        <v>88</v>
      </c>
      <c r="I18" s="8" t="n">
        <v>4055</v>
      </c>
      <c r="J18" s="9" t="n">
        <v>2</v>
      </c>
      <c r="K18" s="9" t="n">
        <v>1192</v>
      </c>
      <c r="L18" s="10" t="n">
        <f aca="false">I18*J18</f>
        <v>8110</v>
      </c>
      <c r="M18" s="10" t="n">
        <f aca="false">IF(K18="","",K18*12*J18)</f>
        <v>28608</v>
      </c>
      <c r="N18" s="11" t="n">
        <f aca="false">IF(K18="",L18,L18+M18)</f>
        <v>36718</v>
      </c>
      <c r="O18" s="8" t="n">
        <v>14500</v>
      </c>
      <c r="P18" s="6" t="s">
        <v>50</v>
      </c>
    </row>
    <row r="19" customFormat="false" ht="15" hidden="false" customHeight="false" outlineLevel="0" collapsed="false">
      <c r="A19" s="6" t="n">
        <v>15</v>
      </c>
      <c r="B19" s="7" t="s">
        <v>95</v>
      </c>
      <c r="C19" s="6" t="s">
        <v>96</v>
      </c>
      <c r="D19" s="6" t="s">
        <v>86</v>
      </c>
      <c r="E19" s="6" t="s">
        <v>97</v>
      </c>
      <c r="F19" s="6" t="s">
        <v>73</v>
      </c>
      <c r="G19" s="6" t="s">
        <v>48</v>
      </c>
      <c r="H19" s="6" t="s">
        <v>88</v>
      </c>
      <c r="I19" s="8" t="n">
        <v>4055</v>
      </c>
      <c r="J19" s="9" t="n">
        <v>2</v>
      </c>
      <c r="K19" s="12"/>
      <c r="L19" s="10" t="n">
        <f aca="false">I19*J19</f>
        <v>8110</v>
      </c>
      <c r="M19" s="10" t="str">
        <f aca="false">IF(K19="","",K19*12*J19)</f>
        <v/>
      </c>
      <c r="N19" s="11" t="n">
        <f aca="false">IF(K19="",L19,L19+M19)</f>
        <v>8110</v>
      </c>
      <c r="O19" s="8" t="n">
        <v>14500</v>
      </c>
      <c r="P19" s="6" t="s">
        <v>50</v>
      </c>
    </row>
    <row r="20" customFormat="false" ht="15" hidden="false" customHeight="false" outlineLevel="0" collapsed="false">
      <c r="A20" s="6" t="n">
        <v>16</v>
      </c>
      <c r="B20" s="7" t="s">
        <v>98</v>
      </c>
      <c r="C20" s="6" t="s">
        <v>99</v>
      </c>
      <c r="D20" s="6" t="s">
        <v>86</v>
      </c>
      <c r="E20" s="6" t="s">
        <v>91</v>
      </c>
      <c r="F20" s="6" t="s">
        <v>100</v>
      </c>
      <c r="G20" s="6" t="s">
        <v>48</v>
      </c>
      <c r="H20" s="6" t="s">
        <v>88</v>
      </c>
      <c r="I20" s="8" t="n">
        <v>4055</v>
      </c>
      <c r="J20" s="9" t="n">
        <v>2</v>
      </c>
      <c r="K20" s="9" t="n">
        <v>1324</v>
      </c>
      <c r="L20" s="10" t="n">
        <f aca="false">I20*J20</f>
        <v>8110</v>
      </c>
      <c r="M20" s="10" t="n">
        <f aca="false">IF(K20="","",K20*12*J20)</f>
        <v>31776</v>
      </c>
      <c r="N20" s="11" t="n">
        <f aca="false">IF(K20="",L20,L20+M20)</f>
        <v>39886</v>
      </c>
      <c r="O20" s="8" t="n">
        <v>14500</v>
      </c>
      <c r="P20" s="6" t="s">
        <v>50</v>
      </c>
    </row>
    <row r="21" customFormat="false" ht="15" hidden="false" customHeight="false" outlineLevel="0" collapsed="false">
      <c r="A21" s="6" t="n">
        <v>17</v>
      </c>
      <c r="B21" s="7" t="s">
        <v>101</v>
      </c>
      <c r="C21" s="6" t="s">
        <v>102</v>
      </c>
      <c r="D21" s="6" t="s">
        <v>103</v>
      </c>
      <c r="E21" s="6" t="s">
        <v>104</v>
      </c>
      <c r="F21" s="6" t="s">
        <v>73</v>
      </c>
      <c r="G21" s="6" t="s">
        <v>48</v>
      </c>
      <c r="H21" s="6" t="s">
        <v>88</v>
      </c>
      <c r="I21" s="8" t="n">
        <v>5369</v>
      </c>
      <c r="J21" s="9" t="n">
        <v>2</v>
      </c>
      <c r="K21" s="12"/>
      <c r="L21" s="10" t="n">
        <f aca="false">I21*J21</f>
        <v>10738</v>
      </c>
      <c r="M21" s="10" t="str">
        <f aca="false">IF(K21="","",K21*12*J21)</f>
        <v/>
      </c>
      <c r="N21" s="11" t="n">
        <f aca="false">IF(K21="",L21,L21+M21)</f>
        <v>10738</v>
      </c>
      <c r="O21" s="8"/>
      <c r="P21" s="6" t="s">
        <v>105</v>
      </c>
    </row>
    <row r="22" customFormat="false" ht="15" hidden="false" customHeight="false" outlineLevel="0" collapsed="false">
      <c r="A22" s="6" t="n">
        <v>18</v>
      </c>
      <c r="B22" s="7" t="s">
        <v>106</v>
      </c>
      <c r="C22" s="6" t="s">
        <v>107</v>
      </c>
      <c r="D22" s="6" t="s">
        <v>103</v>
      </c>
      <c r="E22" s="6" t="s">
        <v>104</v>
      </c>
      <c r="F22" s="6" t="s">
        <v>73</v>
      </c>
      <c r="G22" s="6" t="s">
        <v>48</v>
      </c>
      <c r="H22" s="6" t="s">
        <v>108</v>
      </c>
      <c r="I22" s="8" t="n">
        <v>5369</v>
      </c>
      <c r="J22" s="9" t="n">
        <v>2</v>
      </c>
      <c r="K22" s="12"/>
      <c r="L22" s="10" t="n">
        <f aca="false">I22*J22</f>
        <v>10738</v>
      </c>
      <c r="M22" s="10" t="str">
        <f aca="false">IF(K22="","",K22*12*J22)</f>
        <v/>
      </c>
      <c r="N22" s="11" t="n">
        <f aca="false">IF(K22="",L22,L22+M22)</f>
        <v>10738</v>
      </c>
      <c r="O22" s="8"/>
      <c r="P22" s="6" t="s">
        <v>105</v>
      </c>
    </row>
    <row r="23" customFormat="false" ht="15" hidden="false" customHeight="false" outlineLevel="0" collapsed="false">
      <c r="A23" s="6" t="n">
        <v>19</v>
      </c>
      <c r="B23" s="7" t="s">
        <v>109</v>
      </c>
      <c r="C23" s="6" t="s">
        <v>110</v>
      </c>
      <c r="D23" s="6" t="s">
        <v>103</v>
      </c>
      <c r="E23" s="6" t="s">
        <v>111</v>
      </c>
      <c r="F23" s="6" t="s">
        <v>73</v>
      </c>
      <c r="G23" s="6" t="s">
        <v>48</v>
      </c>
      <c r="H23" s="6" t="s">
        <v>88</v>
      </c>
      <c r="I23" s="8" t="n">
        <v>5369</v>
      </c>
      <c r="J23" s="9" t="n">
        <v>2</v>
      </c>
      <c r="K23" s="12"/>
      <c r="L23" s="10" t="n">
        <f aca="false">I23*J23</f>
        <v>10738</v>
      </c>
      <c r="M23" s="10" t="str">
        <f aca="false">IF(K23="","",K23*12*J23)</f>
        <v/>
      </c>
      <c r="N23" s="11" t="n">
        <f aca="false">IF(K23="",L23,L23+M23)</f>
        <v>10738</v>
      </c>
      <c r="O23" s="8"/>
      <c r="P23" s="6" t="s">
        <v>50</v>
      </c>
    </row>
    <row r="24" customFormat="false" ht="15" hidden="false" customHeight="false" outlineLevel="0" collapsed="false">
      <c r="A24" s="6" t="n">
        <v>20</v>
      </c>
      <c r="B24" s="7" t="s">
        <v>112</v>
      </c>
      <c r="C24" s="6" t="s">
        <v>113</v>
      </c>
      <c r="D24" s="6" t="s">
        <v>114</v>
      </c>
      <c r="E24" s="6" t="s">
        <v>115</v>
      </c>
      <c r="F24" s="6" t="s">
        <v>59</v>
      </c>
      <c r="G24" s="6" t="s">
        <v>48</v>
      </c>
      <c r="H24" s="6" t="s">
        <v>49</v>
      </c>
      <c r="I24" s="8" t="n">
        <v>7450</v>
      </c>
      <c r="J24" s="9" t="n">
        <v>2</v>
      </c>
      <c r="K24" s="12"/>
      <c r="L24" s="10" t="n">
        <f aca="false">I24*J24</f>
        <v>14900</v>
      </c>
      <c r="M24" s="10" t="str">
        <f aca="false">IF(K24="","",K24*12*J24)</f>
        <v/>
      </c>
      <c r="N24" s="11" t="n">
        <f aca="false">IF(K24="",L24,L24+M24)</f>
        <v>14900</v>
      </c>
      <c r="O24" s="8"/>
      <c r="P24" s="6" t="s">
        <v>50</v>
      </c>
    </row>
    <row r="25" customFormat="false" ht="15" hidden="false" customHeight="false" outlineLevel="0" collapsed="false">
      <c r="A25" s="6" t="n">
        <v>21</v>
      </c>
      <c r="B25" s="7" t="s">
        <v>116</v>
      </c>
      <c r="C25" s="6" t="s">
        <v>117</v>
      </c>
      <c r="D25" s="6" t="s">
        <v>118</v>
      </c>
      <c r="E25" s="6" t="s">
        <v>119</v>
      </c>
      <c r="F25" s="6" t="s">
        <v>73</v>
      </c>
      <c r="G25" s="6" t="s">
        <v>48</v>
      </c>
      <c r="H25" s="6" t="s">
        <v>49</v>
      </c>
      <c r="I25" s="8" t="n">
        <v>5000</v>
      </c>
      <c r="J25" s="9" t="n">
        <v>1.5</v>
      </c>
      <c r="K25" s="12"/>
      <c r="L25" s="10" t="n">
        <f aca="false">I25*J25</f>
        <v>7500</v>
      </c>
      <c r="M25" s="10" t="str">
        <f aca="false">IF(K25="","",K25*12*J25)</f>
        <v/>
      </c>
      <c r="N25" s="11" t="n">
        <f aca="false">IF(K25="",L25,L25+M25)</f>
        <v>7500</v>
      </c>
      <c r="O25" s="8"/>
      <c r="P25" s="6" t="s">
        <v>50</v>
      </c>
    </row>
    <row r="26" customFormat="false" ht="15" hidden="false" customHeight="false" outlineLevel="0" collapsed="false">
      <c r="A26" s="6" t="n">
        <v>22</v>
      </c>
      <c r="B26" s="7" t="s">
        <v>120</v>
      </c>
      <c r="C26" s="6" t="s">
        <v>121</v>
      </c>
      <c r="D26" s="6" t="s">
        <v>122</v>
      </c>
      <c r="E26" s="6" t="s">
        <v>123</v>
      </c>
      <c r="F26" s="6" t="s">
        <v>59</v>
      </c>
      <c r="G26" s="6" t="s">
        <v>48</v>
      </c>
      <c r="H26" s="6" t="s">
        <v>49</v>
      </c>
      <c r="I26" s="8" t="n">
        <v>3750</v>
      </c>
      <c r="J26" s="9" t="n">
        <v>2</v>
      </c>
      <c r="K26" s="12"/>
      <c r="L26" s="10" t="n">
        <f aca="false">I26*J26</f>
        <v>7500</v>
      </c>
      <c r="M26" s="10" t="str">
        <f aca="false">IF(K26="","",K26*12*J26)</f>
        <v/>
      </c>
      <c r="N26" s="11" t="n">
        <f aca="false">IF(K26="",L26,L26+M26)</f>
        <v>7500</v>
      </c>
      <c r="O26" s="8"/>
      <c r="P26" s="6" t="s">
        <v>50</v>
      </c>
    </row>
    <row r="27" customFormat="false" ht="15" hidden="false" customHeight="false" outlineLevel="0" collapsed="false">
      <c r="A27" s="6" t="n">
        <v>23</v>
      </c>
      <c r="B27" s="7" t="s">
        <v>124</v>
      </c>
      <c r="C27" s="6" t="s">
        <v>125</v>
      </c>
      <c r="D27" s="6" t="s">
        <v>126</v>
      </c>
      <c r="E27" s="6" t="s">
        <v>127</v>
      </c>
      <c r="F27" s="6" t="s">
        <v>59</v>
      </c>
      <c r="G27" s="6" t="s">
        <v>48</v>
      </c>
      <c r="H27" s="6" t="s">
        <v>49</v>
      </c>
      <c r="I27" s="8" t="n">
        <v>4800</v>
      </c>
      <c r="J27" s="9" t="n">
        <v>2</v>
      </c>
      <c r="K27" s="12"/>
      <c r="L27" s="10" t="n">
        <f aca="false">I27*J27</f>
        <v>9600</v>
      </c>
      <c r="M27" s="10" t="str">
        <f aca="false">IF(K27="","",K27*12*J27)</f>
        <v/>
      </c>
      <c r="N27" s="11" t="n">
        <f aca="false">IF(K27="",L27,L27+M27)</f>
        <v>9600</v>
      </c>
      <c r="O27" s="8"/>
      <c r="P27" s="6" t="s">
        <v>50</v>
      </c>
    </row>
    <row r="28" customFormat="false" ht="15" hidden="false" customHeight="false" outlineLevel="0" collapsed="false">
      <c r="A28" s="6" t="n">
        <v>24</v>
      </c>
      <c r="B28" s="7" t="s">
        <v>128</v>
      </c>
      <c r="C28" s="6" t="s">
        <v>129</v>
      </c>
      <c r="D28" s="6" t="s">
        <v>130</v>
      </c>
      <c r="E28" s="6" t="s">
        <v>131</v>
      </c>
      <c r="F28" s="6" t="s">
        <v>73</v>
      </c>
      <c r="G28" s="6" t="s">
        <v>48</v>
      </c>
      <c r="H28" s="6" t="s">
        <v>49</v>
      </c>
      <c r="I28" s="8" t="n">
        <v>4750</v>
      </c>
      <c r="J28" s="9" t="n">
        <v>2</v>
      </c>
      <c r="K28" s="12"/>
      <c r="L28" s="10" t="n">
        <f aca="false">I28*J28</f>
        <v>9500</v>
      </c>
      <c r="M28" s="10" t="str">
        <f aca="false">IF(K28="","",K28*12*J28)</f>
        <v/>
      </c>
      <c r="N28" s="11" t="n">
        <f aca="false">IF(K28="",L28,L28+M28)</f>
        <v>9500</v>
      </c>
      <c r="O28" s="8"/>
      <c r="P28" s="6" t="s">
        <v>50</v>
      </c>
    </row>
    <row r="29" customFormat="false" ht="15" hidden="false" customHeight="false" outlineLevel="0" collapsed="false">
      <c r="A29" s="6" t="n">
        <v>25</v>
      </c>
      <c r="B29" s="7" t="s">
        <v>132</v>
      </c>
      <c r="C29" s="6" t="s">
        <v>133</v>
      </c>
      <c r="D29" s="6" t="s">
        <v>134</v>
      </c>
      <c r="E29" s="6" t="s">
        <v>135</v>
      </c>
      <c r="F29" s="6" t="s">
        <v>59</v>
      </c>
      <c r="G29" s="6" t="s">
        <v>48</v>
      </c>
      <c r="H29" s="6" t="s">
        <v>49</v>
      </c>
      <c r="I29" s="8" t="n">
        <v>4500</v>
      </c>
      <c r="J29" s="9" t="n">
        <v>2</v>
      </c>
      <c r="K29" s="12"/>
      <c r="L29" s="10" t="n">
        <f aca="false">I29*J29</f>
        <v>9000</v>
      </c>
      <c r="M29" s="10" t="str">
        <f aca="false">IF(K29="","",K29*12*J29)</f>
        <v/>
      </c>
      <c r="N29" s="11" t="n">
        <f aca="false">IF(K29="",L29,L29+M29)</f>
        <v>9000</v>
      </c>
      <c r="O29" s="8"/>
      <c r="P29" s="6" t="s">
        <v>50</v>
      </c>
    </row>
    <row r="30" customFormat="false" ht="15" hidden="false" customHeight="false" outlineLevel="0" collapsed="false">
      <c r="A30" s="6" t="n">
        <v>26</v>
      </c>
      <c r="B30" s="7" t="s">
        <v>136</v>
      </c>
      <c r="C30" s="6" t="s">
        <v>137</v>
      </c>
      <c r="D30" s="6" t="s">
        <v>138</v>
      </c>
      <c r="E30" s="6" t="s">
        <v>139</v>
      </c>
      <c r="F30" s="6" t="s">
        <v>73</v>
      </c>
      <c r="G30" s="6" t="s">
        <v>48</v>
      </c>
      <c r="H30" s="6" t="s">
        <v>49</v>
      </c>
      <c r="I30" s="8" t="n">
        <v>2700</v>
      </c>
      <c r="J30" s="9" t="n">
        <v>2</v>
      </c>
      <c r="K30" s="12"/>
      <c r="L30" s="10" t="n">
        <f aca="false">I30*J30</f>
        <v>5400</v>
      </c>
      <c r="M30" s="10" t="str">
        <f aca="false">IF(K30="","",K30*12*J30)</f>
        <v/>
      </c>
      <c r="N30" s="11" t="n">
        <f aca="false">IF(K30="",L30,L30+M30)</f>
        <v>5400</v>
      </c>
      <c r="O30" s="8"/>
      <c r="P30" s="6" t="s">
        <v>50</v>
      </c>
    </row>
    <row r="31" customFormat="false" ht="15" hidden="false" customHeight="false" outlineLevel="0" collapsed="false">
      <c r="A31" s="6" t="n">
        <v>27</v>
      </c>
      <c r="B31" s="7" t="s">
        <v>140</v>
      </c>
      <c r="C31" s="6" t="s">
        <v>141</v>
      </c>
      <c r="D31" s="6" t="s">
        <v>142</v>
      </c>
      <c r="E31" s="6" t="s">
        <v>143</v>
      </c>
      <c r="F31" s="6" t="s">
        <v>59</v>
      </c>
      <c r="G31" s="6" t="s">
        <v>48</v>
      </c>
      <c r="H31" s="6" t="s">
        <v>49</v>
      </c>
      <c r="I31" s="8" t="n">
        <v>11000</v>
      </c>
      <c r="J31" s="9" t="n">
        <v>1</v>
      </c>
      <c r="K31" s="12"/>
      <c r="L31" s="10" t="n">
        <f aca="false">I31*J31</f>
        <v>11000</v>
      </c>
      <c r="M31" s="10" t="str">
        <f aca="false">IF(K31="","",K31*12*J31)</f>
        <v/>
      </c>
      <c r="N31" s="11" t="n">
        <f aca="false">IF(K31="",L31,L31+M31)</f>
        <v>11000</v>
      </c>
      <c r="O31" s="8"/>
      <c r="P31" s="6" t="s">
        <v>105</v>
      </c>
    </row>
    <row r="32" customFormat="false" ht="15" hidden="false" customHeight="false" outlineLevel="0" collapsed="false">
      <c r="A32" s="6" t="n">
        <v>28</v>
      </c>
      <c r="B32" s="7" t="s">
        <v>144</v>
      </c>
      <c r="C32" s="6" t="s">
        <v>145</v>
      </c>
      <c r="D32" s="6" t="s">
        <v>146</v>
      </c>
      <c r="E32" s="6" t="s">
        <v>147</v>
      </c>
      <c r="F32" s="6" t="s">
        <v>73</v>
      </c>
      <c r="G32" s="6" t="s">
        <v>148</v>
      </c>
      <c r="H32" s="6" t="s">
        <v>149</v>
      </c>
      <c r="I32" s="8" t="n">
        <v>590</v>
      </c>
      <c r="J32" s="9" t="n">
        <v>1.5</v>
      </c>
      <c r="K32" s="12"/>
      <c r="L32" s="10" t="n">
        <f aca="false">I32*J32</f>
        <v>885</v>
      </c>
      <c r="M32" s="10" t="str">
        <f aca="false">IF(K32="","",K32*12*J32)</f>
        <v/>
      </c>
      <c r="N32" s="11" t="n">
        <f aca="false">IF(K32="",L32,L32+M32)</f>
        <v>885</v>
      </c>
      <c r="O32" s="8"/>
      <c r="P32" s="6" t="s">
        <v>50</v>
      </c>
    </row>
    <row r="33" customFormat="false" ht="15" hidden="false" customHeight="false" outlineLevel="0" collapsed="false">
      <c r="A33" s="6" t="n">
        <v>29</v>
      </c>
      <c r="B33" s="7" t="s">
        <v>150</v>
      </c>
      <c r="C33" s="6" t="s">
        <v>151</v>
      </c>
      <c r="D33" s="6" t="s">
        <v>146</v>
      </c>
      <c r="E33" s="6" t="s">
        <v>152</v>
      </c>
      <c r="F33" s="6" t="s">
        <v>73</v>
      </c>
      <c r="G33" s="6" t="s">
        <v>148</v>
      </c>
      <c r="H33" s="6" t="s">
        <v>149</v>
      </c>
      <c r="I33" s="8" t="n">
        <v>590</v>
      </c>
      <c r="J33" s="9" t="n">
        <v>1.5</v>
      </c>
      <c r="K33" s="12"/>
      <c r="L33" s="10" t="n">
        <f aca="false">I33*J33</f>
        <v>885</v>
      </c>
      <c r="M33" s="10" t="str">
        <f aca="false">IF(K33="","",K33*12*J33)</f>
        <v/>
      </c>
      <c r="N33" s="11" t="n">
        <f aca="false">IF(K33="",L33,L33+M33)</f>
        <v>885</v>
      </c>
      <c r="O33" s="8"/>
      <c r="P33" s="6" t="s">
        <v>50</v>
      </c>
    </row>
    <row r="34" customFormat="false" ht="15" hidden="false" customHeight="false" outlineLevel="0" collapsed="false">
      <c r="A34" s="6" t="n">
        <v>30</v>
      </c>
      <c r="B34" s="7" t="s">
        <v>153</v>
      </c>
      <c r="C34" s="6" t="s">
        <v>154</v>
      </c>
      <c r="D34" s="6" t="s">
        <v>63</v>
      </c>
      <c r="E34" s="6" t="s">
        <v>155</v>
      </c>
      <c r="F34" s="6" t="s">
        <v>59</v>
      </c>
      <c r="G34" s="6" t="s">
        <v>148</v>
      </c>
      <c r="H34" s="6" t="s">
        <v>156</v>
      </c>
      <c r="I34" s="8" t="n">
        <v>656</v>
      </c>
      <c r="J34" s="9" t="n">
        <v>2</v>
      </c>
      <c r="K34" s="12"/>
      <c r="L34" s="10" t="n">
        <f aca="false">I34*J34</f>
        <v>1312</v>
      </c>
      <c r="M34" s="10" t="str">
        <f aca="false">IF(K34="","",K34*12*J34)</f>
        <v/>
      </c>
      <c r="N34" s="11" t="n">
        <f aca="false">IF(K34="",L34,L34+M34)</f>
        <v>1312</v>
      </c>
      <c r="O34" s="8"/>
      <c r="P34" s="6" t="s">
        <v>50</v>
      </c>
    </row>
    <row r="35" customFormat="false" ht="15" hidden="false" customHeight="false" outlineLevel="0" collapsed="false">
      <c r="A35" s="6" t="n">
        <v>31</v>
      </c>
      <c r="B35" s="7" t="s">
        <v>157</v>
      </c>
      <c r="C35" s="6" t="s">
        <v>158</v>
      </c>
      <c r="D35" s="6" t="s">
        <v>159</v>
      </c>
      <c r="E35" s="6" t="s">
        <v>160</v>
      </c>
      <c r="F35" s="6" t="s">
        <v>65</v>
      </c>
      <c r="G35" s="6" t="s">
        <v>48</v>
      </c>
      <c r="H35" s="6" t="s">
        <v>49</v>
      </c>
      <c r="I35" s="8" t="n">
        <v>11540</v>
      </c>
      <c r="J35" s="9" t="n">
        <v>2</v>
      </c>
      <c r="K35" s="12"/>
      <c r="L35" s="10" t="n">
        <f aca="false">I35*J35</f>
        <v>23080</v>
      </c>
      <c r="M35" s="10" t="str">
        <f aca="false">IF(K35="","",K35*12*J35)</f>
        <v/>
      </c>
      <c r="N35" s="11" t="n">
        <f aca="false">IF(K35="",L35,L35+M35)</f>
        <v>23080</v>
      </c>
      <c r="O35" s="8" t="n">
        <v>14600</v>
      </c>
      <c r="P35" s="6" t="s">
        <v>50</v>
      </c>
    </row>
    <row r="36" customFormat="false" ht="15" hidden="false" customHeight="false" outlineLevel="0" collapsed="false">
      <c r="A36" s="6" t="n">
        <v>32</v>
      </c>
      <c r="B36" s="7" t="s">
        <v>161</v>
      </c>
      <c r="C36" s="6" t="s">
        <v>162</v>
      </c>
      <c r="D36" s="6" t="s">
        <v>159</v>
      </c>
      <c r="E36" s="6" t="s">
        <v>163</v>
      </c>
      <c r="F36" s="6" t="s">
        <v>59</v>
      </c>
      <c r="G36" s="6" t="s">
        <v>48</v>
      </c>
      <c r="H36" s="6" t="s">
        <v>49</v>
      </c>
      <c r="I36" s="8" t="n">
        <v>5128</v>
      </c>
      <c r="J36" s="9" t="n">
        <v>2</v>
      </c>
      <c r="K36" s="12"/>
      <c r="L36" s="10" t="n">
        <f aca="false">I36*J36</f>
        <v>10256</v>
      </c>
      <c r="M36" s="10" t="str">
        <f aca="false">IF(K36="","",K36*12*J36)</f>
        <v/>
      </c>
      <c r="N36" s="11" t="n">
        <f aca="false">IF(K36="",L36,L36+M36)</f>
        <v>10256</v>
      </c>
      <c r="O36" s="8" t="n">
        <v>14600</v>
      </c>
      <c r="P36" s="6" t="s">
        <v>50</v>
      </c>
    </row>
    <row r="37" customFormat="false" ht="15" hidden="false" customHeight="false" outlineLevel="0" collapsed="false">
      <c r="A37" s="6" t="n">
        <v>33</v>
      </c>
      <c r="B37" s="7" t="s">
        <v>164</v>
      </c>
      <c r="C37" s="6" t="s">
        <v>165</v>
      </c>
      <c r="D37" s="6" t="s">
        <v>166</v>
      </c>
      <c r="E37" s="6" t="s">
        <v>167</v>
      </c>
      <c r="F37" s="6" t="s">
        <v>47</v>
      </c>
      <c r="G37" s="6" t="s">
        <v>48</v>
      </c>
      <c r="H37" s="6" t="s">
        <v>49</v>
      </c>
      <c r="I37" s="8" t="n">
        <v>0</v>
      </c>
      <c r="J37" s="9" t="n">
        <v>2</v>
      </c>
      <c r="K37" s="12"/>
      <c r="L37" s="10" t="n">
        <f aca="false">I37*J37</f>
        <v>0</v>
      </c>
      <c r="M37" s="10" t="str">
        <f aca="false">IF(K37="","",K37*12*J37)</f>
        <v/>
      </c>
      <c r="N37" s="11" t="n">
        <f aca="false">IF(K37="",L37,L37+M37)</f>
        <v>0</v>
      </c>
      <c r="O37" s="8"/>
      <c r="P37" s="6" t="s">
        <v>105</v>
      </c>
    </row>
    <row r="39" customFormat="false" ht="15" hidden="false" customHeight="false" outlineLevel="0" collapsed="false">
      <c r="A39" s="4" t="s">
        <v>168</v>
      </c>
    </row>
    <row r="40" customFormat="false" ht="15" hidden="false" customHeight="false" outlineLevel="0" collapsed="false">
      <c r="A40" s="4" t="s">
        <v>169</v>
      </c>
    </row>
    <row r="41" customFormat="false" ht="15" hidden="false" customHeight="false" outlineLevel="0" collapsed="false">
      <c r="A41" s="4" t="s">
        <v>170</v>
      </c>
    </row>
    <row r="42" customFormat="false" ht="15" hidden="false" customHeight="false" outlineLevel="0" collapsed="false">
      <c r="A42" s="4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"/>
    <col collapsed="false" customWidth="true" hidden="false" outlineLevel="0" max="3" min="3" style="0" width="44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44"/>
  </cols>
  <sheetData>
    <row r="1" customFormat="false" ht="17.35" hidden="false" customHeight="false" outlineLevel="0" collapsed="false">
      <c r="A1" s="1" t="s">
        <v>172</v>
      </c>
    </row>
    <row r="2" customFormat="false" ht="15" hidden="false" customHeight="false" outlineLevel="0" collapsed="false">
      <c r="A2" s="4" t="s">
        <v>173</v>
      </c>
    </row>
    <row r="4" customFormat="false" ht="30" hidden="false" customHeight="true" outlineLevel="0" collapsed="false">
      <c r="A4" s="5" t="s">
        <v>174</v>
      </c>
      <c r="B4" s="5" t="s">
        <v>33</v>
      </c>
      <c r="C4" s="5" t="s">
        <v>28</v>
      </c>
      <c r="D4" s="5" t="s">
        <v>29</v>
      </c>
      <c r="E4" s="5" t="s">
        <v>30</v>
      </c>
      <c r="F4" s="5" t="s">
        <v>175</v>
      </c>
      <c r="G4" s="5" t="s">
        <v>34</v>
      </c>
      <c r="H4" s="5" t="s">
        <v>176</v>
      </c>
      <c r="I4" s="5" t="s">
        <v>177</v>
      </c>
      <c r="J4" s="5" t="s">
        <v>178</v>
      </c>
    </row>
    <row r="5" customFormat="false" ht="15" hidden="false" customHeight="false" outlineLevel="0" collapsed="false">
      <c r="A5" s="6" t="s">
        <v>179</v>
      </c>
      <c r="B5" s="6" t="s">
        <v>48</v>
      </c>
      <c r="C5" s="7" t="s">
        <v>74</v>
      </c>
      <c r="D5" s="6" t="s">
        <v>70</v>
      </c>
      <c r="E5" s="6" t="s">
        <v>71</v>
      </c>
      <c r="F5" s="6" t="s">
        <v>180</v>
      </c>
      <c r="G5" s="6" t="s">
        <v>49</v>
      </c>
      <c r="H5" s="6" t="s">
        <v>181</v>
      </c>
      <c r="I5" s="6" t="s">
        <v>182</v>
      </c>
      <c r="J5" s="6" t="s">
        <v>183</v>
      </c>
    </row>
    <row r="6" customFormat="false" ht="15" hidden="false" customHeight="false" outlineLevel="0" collapsed="false">
      <c r="A6" s="6" t="s">
        <v>179</v>
      </c>
      <c r="B6" s="6" t="s">
        <v>48</v>
      </c>
      <c r="C6" s="7" t="s">
        <v>184</v>
      </c>
      <c r="D6" s="6" t="s">
        <v>121</v>
      </c>
      <c r="E6" s="6" t="s">
        <v>122</v>
      </c>
      <c r="F6" s="6" t="s">
        <v>185</v>
      </c>
      <c r="G6" s="6" t="s">
        <v>49</v>
      </c>
      <c r="H6" s="6" t="s">
        <v>186</v>
      </c>
      <c r="I6" s="6" t="s">
        <v>50</v>
      </c>
      <c r="J6" s="6" t="s">
        <v>187</v>
      </c>
    </row>
    <row r="7" customFormat="false" ht="15" hidden="false" customHeight="false" outlineLevel="0" collapsed="false">
      <c r="A7" s="6" t="s">
        <v>179</v>
      </c>
      <c r="B7" s="6" t="s">
        <v>48</v>
      </c>
      <c r="C7" s="7" t="s">
        <v>188</v>
      </c>
      <c r="D7" s="6" t="s">
        <v>113</v>
      </c>
      <c r="E7" s="6" t="s">
        <v>114</v>
      </c>
      <c r="F7" s="6" t="s">
        <v>185</v>
      </c>
      <c r="G7" s="6" t="s">
        <v>49</v>
      </c>
      <c r="H7" s="6" t="s">
        <v>189</v>
      </c>
      <c r="I7" s="6" t="s">
        <v>50</v>
      </c>
      <c r="J7" s="6" t="s">
        <v>190</v>
      </c>
    </row>
    <row r="8" customFormat="false" ht="15" hidden="false" customHeight="false" outlineLevel="0" collapsed="false">
      <c r="A8" s="6" t="s">
        <v>179</v>
      </c>
      <c r="B8" s="6" t="s">
        <v>48</v>
      </c>
      <c r="C8" s="7" t="s">
        <v>191</v>
      </c>
      <c r="D8" s="6" t="s">
        <v>158</v>
      </c>
      <c r="E8" s="6" t="s">
        <v>159</v>
      </c>
      <c r="F8" s="6" t="s">
        <v>185</v>
      </c>
      <c r="G8" s="6" t="s">
        <v>49</v>
      </c>
      <c r="H8" s="6" t="s">
        <v>192</v>
      </c>
      <c r="I8" s="6" t="s">
        <v>193</v>
      </c>
      <c r="J8" s="6" t="s">
        <v>194</v>
      </c>
    </row>
    <row r="9" customFormat="false" ht="15" hidden="false" customHeight="false" outlineLevel="0" collapsed="false">
      <c r="A9" s="6" t="s">
        <v>179</v>
      </c>
      <c r="B9" s="6" t="s">
        <v>48</v>
      </c>
      <c r="C9" s="7" t="s">
        <v>195</v>
      </c>
      <c r="D9" s="6" t="s">
        <v>196</v>
      </c>
      <c r="E9" s="6" t="s">
        <v>118</v>
      </c>
      <c r="F9" s="6" t="s">
        <v>185</v>
      </c>
      <c r="G9" s="6" t="s">
        <v>49</v>
      </c>
      <c r="H9" s="6" t="s">
        <v>197</v>
      </c>
      <c r="I9" s="6" t="s">
        <v>50</v>
      </c>
      <c r="J9" s="6"/>
    </row>
    <row r="10" customFormat="false" ht="15" hidden="false" customHeight="false" outlineLevel="0" collapsed="false">
      <c r="A10" s="6" t="s">
        <v>179</v>
      </c>
      <c r="B10" s="6" t="s">
        <v>48</v>
      </c>
      <c r="C10" s="7" t="s">
        <v>198</v>
      </c>
      <c r="D10" s="6" t="s">
        <v>199</v>
      </c>
      <c r="E10" s="6" t="s">
        <v>118</v>
      </c>
      <c r="F10" s="6" t="s">
        <v>185</v>
      </c>
      <c r="G10" s="6" t="s">
        <v>49</v>
      </c>
      <c r="H10" s="6" t="s">
        <v>200</v>
      </c>
      <c r="I10" s="6" t="s">
        <v>50</v>
      </c>
      <c r="J10" s="6" t="s">
        <v>201</v>
      </c>
    </row>
    <row r="11" customFormat="false" ht="15" hidden="false" customHeight="false" outlineLevel="0" collapsed="false">
      <c r="A11" s="6" t="s">
        <v>179</v>
      </c>
      <c r="B11" s="6" t="s">
        <v>48</v>
      </c>
      <c r="C11" s="7" t="s">
        <v>202</v>
      </c>
      <c r="D11" s="6" t="s">
        <v>203</v>
      </c>
      <c r="E11" s="6" t="s">
        <v>138</v>
      </c>
      <c r="F11" s="6" t="s">
        <v>185</v>
      </c>
      <c r="G11" s="6" t="s">
        <v>49</v>
      </c>
      <c r="H11" s="6" t="s">
        <v>204</v>
      </c>
      <c r="I11" s="6" t="s">
        <v>50</v>
      </c>
      <c r="J11" s="6"/>
    </row>
    <row r="12" customFormat="false" ht="15" hidden="false" customHeight="false" outlineLevel="0" collapsed="false">
      <c r="A12" s="6" t="s">
        <v>179</v>
      </c>
      <c r="B12" s="6" t="s">
        <v>48</v>
      </c>
      <c r="C12" s="7" t="s">
        <v>205</v>
      </c>
      <c r="D12" s="6" t="s">
        <v>206</v>
      </c>
      <c r="E12" s="6" t="s">
        <v>103</v>
      </c>
      <c r="F12" s="6" t="s">
        <v>185</v>
      </c>
      <c r="G12" s="6" t="s">
        <v>207</v>
      </c>
      <c r="H12" s="6" t="s">
        <v>208</v>
      </c>
      <c r="I12" s="6" t="s">
        <v>105</v>
      </c>
      <c r="J12" s="6" t="s">
        <v>209</v>
      </c>
    </row>
    <row r="13" customFormat="false" ht="15" hidden="false" customHeight="false" outlineLevel="0" collapsed="false">
      <c r="A13" s="6" t="s">
        <v>179</v>
      </c>
      <c r="B13" s="6" t="s">
        <v>48</v>
      </c>
      <c r="C13" s="7" t="s">
        <v>210</v>
      </c>
      <c r="D13" s="6" t="s">
        <v>141</v>
      </c>
      <c r="E13" s="6" t="s">
        <v>142</v>
      </c>
      <c r="F13" s="6" t="s">
        <v>185</v>
      </c>
      <c r="G13" s="6" t="s">
        <v>49</v>
      </c>
      <c r="H13" s="6" t="s">
        <v>211</v>
      </c>
      <c r="I13" s="6" t="s">
        <v>212</v>
      </c>
      <c r="J13" s="6" t="s">
        <v>213</v>
      </c>
    </row>
    <row r="14" customFormat="false" ht="15" hidden="false" customHeight="false" outlineLevel="0" collapsed="false">
      <c r="A14" s="6" t="s">
        <v>179</v>
      </c>
      <c r="B14" s="6" t="s">
        <v>48</v>
      </c>
      <c r="C14" s="7" t="s">
        <v>214</v>
      </c>
      <c r="D14" s="6" t="s">
        <v>215</v>
      </c>
      <c r="E14" s="6" t="s">
        <v>142</v>
      </c>
      <c r="F14" s="6" t="s">
        <v>185</v>
      </c>
      <c r="G14" s="6" t="s">
        <v>49</v>
      </c>
      <c r="H14" s="6" t="s">
        <v>216</v>
      </c>
      <c r="I14" s="6" t="s">
        <v>105</v>
      </c>
      <c r="J14" s="6" t="s">
        <v>217</v>
      </c>
    </row>
    <row r="15" customFormat="false" ht="15" hidden="false" customHeight="false" outlineLevel="0" collapsed="false">
      <c r="A15" s="6" t="s">
        <v>179</v>
      </c>
      <c r="B15" s="6" t="s">
        <v>48</v>
      </c>
      <c r="C15" s="7" t="s">
        <v>218</v>
      </c>
      <c r="D15" s="6" t="s">
        <v>219</v>
      </c>
      <c r="E15" s="6" t="s">
        <v>220</v>
      </c>
      <c r="F15" s="6" t="s">
        <v>180</v>
      </c>
      <c r="G15" s="6" t="s">
        <v>49</v>
      </c>
      <c r="H15" s="6" t="s">
        <v>221</v>
      </c>
      <c r="I15" s="6" t="s">
        <v>222</v>
      </c>
      <c r="J15" s="6" t="s">
        <v>223</v>
      </c>
    </row>
    <row r="16" customFormat="false" ht="15" hidden="false" customHeight="false" outlineLevel="0" collapsed="false">
      <c r="A16" s="6" t="s">
        <v>179</v>
      </c>
      <c r="B16" s="6" t="s">
        <v>48</v>
      </c>
      <c r="C16" s="7" t="s">
        <v>224</v>
      </c>
      <c r="D16" s="6" t="s">
        <v>225</v>
      </c>
      <c r="E16" s="6" t="s">
        <v>226</v>
      </c>
      <c r="F16" s="6" t="s">
        <v>185</v>
      </c>
      <c r="G16" s="6" t="s">
        <v>49</v>
      </c>
      <c r="H16" s="6" t="s">
        <v>227</v>
      </c>
      <c r="I16" s="6" t="s">
        <v>50</v>
      </c>
      <c r="J16" s="6" t="s">
        <v>228</v>
      </c>
    </row>
    <row r="17" customFormat="false" ht="15" hidden="false" customHeight="false" outlineLevel="0" collapsed="false">
      <c r="A17" s="6" t="s">
        <v>179</v>
      </c>
      <c r="B17" s="6" t="s">
        <v>148</v>
      </c>
      <c r="C17" s="7" t="s">
        <v>229</v>
      </c>
      <c r="D17" s="6" t="s">
        <v>230</v>
      </c>
      <c r="E17" s="6" t="s">
        <v>146</v>
      </c>
      <c r="F17" s="6" t="s">
        <v>185</v>
      </c>
      <c r="G17" s="6" t="s">
        <v>149</v>
      </c>
      <c r="H17" s="6" t="s">
        <v>231</v>
      </c>
      <c r="I17" s="6" t="s">
        <v>50</v>
      </c>
      <c r="J17" s="6" t="s">
        <v>232</v>
      </c>
    </row>
    <row r="18" customFormat="false" ht="15" hidden="false" customHeight="false" outlineLevel="0" collapsed="false">
      <c r="A18" s="6" t="s">
        <v>179</v>
      </c>
      <c r="B18" s="6" t="s">
        <v>148</v>
      </c>
      <c r="C18" s="7" t="s">
        <v>233</v>
      </c>
      <c r="D18" s="6" t="s">
        <v>234</v>
      </c>
      <c r="E18" s="6" t="s">
        <v>146</v>
      </c>
      <c r="F18" s="6" t="s">
        <v>185</v>
      </c>
      <c r="G18" s="6" t="s">
        <v>235</v>
      </c>
      <c r="H18" s="6" t="s">
        <v>236</v>
      </c>
      <c r="I18" s="6" t="s">
        <v>50</v>
      </c>
      <c r="J18" s="6"/>
    </row>
    <row r="19" customFormat="false" ht="15" hidden="false" customHeight="false" outlineLevel="0" collapsed="false">
      <c r="A19" s="6" t="s">
        <v>237</v>
      </c>
      <c r="B19" s="6" t="s">
        <v>48</v>
      </c>
      <c r="C19" s="7" t="s">
        <v>69</v>
      </c>
      <c r="D19" s="6" t="s">
        <v>70</v>
      </c>
      <c r="E19" s="6" t="s">
        <v>71</v>
      </c>
      <c r="F19" s="6" t="s">
        <v>180</v>
      </c>
      <c r="G19" s="6" t="s">
        <v>49</v>
      </c>
      <c r="H19" s="6" t="s">
        <v>181</v>
      </c>
      <c r="I19" s="6" t="s">
        <v>238</v>
      </c>
      <c r="J19" s="6" t="s">
        <v>239</v>
      </c>
    </row>
    <row r="20" customFormat="false" ht="15" hidden="false" customHeight="false" outlineLevel="0" collapsed="false">
      <c r="A20" s="6" t="s">
        <v>237</v>
      </c>
      <c r="B20" s="6" t="s">
        <v>48</v>
      </c>
      <c r="C20" s="7" t="s">
        <v>116</v>
      </c>
      <c r="D20" s="6" t="s">
        <v>117</v>
      </c>
      <c r="E20" s="6" t="s">
        <v>118</v>
      </c>
      <c r="F20" s="6" t="s">
        <v>185</v>
      </c>
      <c r="G20" s="6" t="s">
        <v>49</v>
      </c>
      <c r="H20" s="6" t="s">
        <v>186</v>
      </c>
      <c r="I20" s="6" t="s">
        <v>50</v>
      </c>
      <c r="J20" s="6" t="s">
        <v>240</v>
      </c>
    </row>
    <row r="21" customFormat="false" ht="15" hidden="false" customHeight="false" outlineLevel="0" collapsed="false">
      <c r="A21" s="6" t="s">
        <v>237</v>
      </c>
      <c r="B21" s="6" t="s">
        <v>48</v>
      </c>
      <c r="C21" s="7" t="s">
        <v>136</v>
      </c>
      <c r="D21" s="6" t="s">
        <v>137</v>
      </c>
      <c r="E21" s="6" t="s">
        <v>138</v>
      </c>
      <c r="F21" s="6" t="s">
        <v>185</v>
      </c>
      <c r="G21" s="6" t="s">
        <v>49</v>
      </c>
      <c r="H21" s="6" t="s">
        <v>241</v>
      </c>
      <c r="I21" s="6" t="s">
        <v>50</v>
      </c>
      <c r="J21" s="6" t="s">
        <v>242</v>
      </c>
    </row>
    <row r="22" customFormat="false" ht="15" hidden="false" customHeight="false" outlineLevel="0" collapsed="false">
      <c r="A22" s="6" t="s">
        <v>237</v>
      </c>
      <c r="B22" s="6" t="s">
        <v>48</v>
      </c>
      <c r="C22" s="7" t="s">
        <v>243</v>
      </c>
      <c r="D22" s="6" t="s">
        <v>244</v>
      </c>
      <c r="E22" s="6" t="s">
        <v>118</v>
      </c>
      <c r="F22" s="6" t="s">
        <v>185</v>
      </c>
      <c r="G22" s="6" t="s">
        <v>49</v>
      </c>
      <c r="H22" s="6" t="s">
        <v>245</v>
      </c>
      <c r="I22" s="6" t="s">
        <v>105</v>
      </c>
      <c r="J22" s="6" t="s">
        <v>246</v>
      </c>
    </row>
    <row r="23" customFormat="false" ht="15" hidden="false" customHeight="false" outlineLevel="0" collapsed="false">
      <c r="A23" s="6" t="s">
        <v>237</v>
      </c>
      <c r="B23" s="6" t="s">
        <v>48</v>
      </c>
      <c r="C23" s="7" t="s">
        <v>89</v>
      </c>
      <c r="D23" s="6" t="s">
        <v>90</v>
      </c>
      <c r="E23" s="6" t="s">
        <v>86</v>
      </c>
      <c r="F23" s="6" t="s">
        <v>185</v>
      </c>
      <c r="G23" s="6" t="s">
        <v>88</v>
      </c>
      <c r="H23" s="6" t="s">
        <v>247</v>
      </c>
      <c r="I23" s="6" t="s">
        <v>50</v>
      </c>
      <c r="J23" s="6" t="s">
        <v>248</v>
      </c>
    </row>
    <row r="24" customFormat="false" ht="15" hidden="false" customHeight="false" outlineLevel="0" collapsed="false">
      <c r="A24" s="6" t="s">
        <v>237</v>
      </c>
      <c r="B24" s="6" t="s">
        <v>48</v>
      </c>
      <c r="C24" s="7" t="s">
        <v>249</v>
      </c>
      <c r="D24" s="6" t="s">
        <v>93</v>
      </c>
      <c r="E24" s="6" t="s">
        <v>86</v>
      </c>
      <c r="F24" s="6" t="s">
        <v>185</v>
      </c>
      <c r="G24" s="6" t="s">
        <v>88</v>
      </c>
      <c r="H24" s="6" t="s">
        <v>247</v>
      </c>
      <c r="I24" s="6" t="s">
        <v>50</v>
      </c>
      <c r="J24" s="6" t="s">
        <v>250</v>
      </c>
    </row>
    <row r="25" customFormat="false" ht="15" hidden="false" customHeight="false" outlineLevel="0" collapsed="false">
      <c r="A25" s="6" t="s">
        <v>237</v>
      </c>
      <c r="B25" s="6" t="s">
        <v>48</v>
      </c>
      <c r="C25" s="7" t="s">
        <v>251</v>
      </c>
      <c r="D25" s="6" t="s">
        <v>252</v>
      </c>
      <c r="E25" s="6" t="s">
        <v>86</v>
      </c>
      <c r="F25" s="6" t="s">
        <v>185</v>
      </c>
      <c r="G25" s="6" t="s">
        <v>88</v>
      </c>
      <c r="H25" s="6" t="s">
        <v>253</v>
      </c>
      <c r="I25" s="6" t="s">
        <v>50</v>
      </c>
      <c r="J25" s="6" t="s">
        <v>254</v>
      </c>
    </row>
    <row r="26" customFormat="false" ht="15" hidden="false" customHeight="false" outlineLevel="0" collapsed="false">
      <c r="A26" s="6" t="s">
        <v>237</v>
      </c>
      <c r="B26" s="6" t="s">
        <v>48</v>
      </c>
      <c r="C26" s="7" t="s">
        <v>255</v>
      </c>
      <c r="D26" s="6" t="s">
        <v>256</v>
      </c>
      <c r="E26" s="6" t="s">
        <v>86</v>
      </c>
      <c r="F26" s="6" t="s">
        <v>185</v>
      </c>
      <c r="G26" s="6" t="s">
        <v>88</v>
      </c>
      <c r="H26" s="6" t="s">
        <v>247</v>
      </c>
      <c r="I26" s="6" t="s">
        <v>50</v>
      </c>
      <c r="J26" s="6" t="s">
        <v>257</v>
      </c>
    </row>
    <row r="27" customFormat="false" ht="15" hidden="false" customHeight="false" outlineLevel="0" collapsed="false">
      <c r="A27" s="6" t="s">
        <v>237</v>
      </c>
      <c r="B27" s="6" t="s">
        <v>48</v>
      </c>
      <c r="C27" s="7" t="s">
        <v>249</v>
      </c>
      <c r="D27" s="6" t="s">
        <v>258</v>
      </c>
      <c r="E27" s="6" t="s">
        <v>86</v>
      </c>
      <c r="F27" s="6" t="s">
        <v>185</v>
      </c>
      <c r="G27" s="6" t="s">
        <v>88</v>
      </c>
      <c r="H27" s="6" t="s">
        <v>247</v>
      </c>
      <c r="I27" s="6" t="s">
        <v>50</v>
      </c>
      <c r="J27" s="6" t="s">
        <v>259</v>
      </c>
    </row>
    <row r="28" customFormat="false" ht="15" hidden="false" customHeight="false" outlineLevel="0" collapsed="false">
      <c r="A28" s="6" t="s">
        <v>237</v>
      </c>
      <c r="B28" s="6" t="s">
        <v>48</v>
      </c>
      <c r="C28" s="7" t="s">
        <v>260</v>
      </c>
      <c r="D28" s="6" t="s">
        <v>261</v>
      </c>
      <c r="E28" s="6" t="s">
        <v>86</v>
      </c>
      <c r="F28" s="6" t="s">
        <v>185</v>
      </c>
      <c r="G28" s="6" t="s">
        <v>88</v>
      </c>
      <c r="H28" s="6" t="s">
        <v>247</v>
      </c>
      <c r="I28" s="6" t="s">
        <v>50</v>
      </c>
      <c r="J28" s="6" t="s">
        <v>262</v>
      </c>
    </row>
    <row r="29" customFormat="false" ht="15" hidden="false" customHeight="false" outlineLevel="0" collapsed="false">
      <c r="A29" s="6" t="s">
        <v>237</v>
      </c>
      <c r="B29" s="6" t="s">
        <v>48</v>
      </c>
      <c r="C29" s="7" t="s">
        <v>263</v>
      </c>
      <c r="D29" s="6" t="s">
        <v>264</v>
      </c>
      <c r="E29" s="6" t="s">
        <v>265</v>
      </c>
      <c r="F29" s="6" t="s">
        <v>185</v>
      </c>
      <c r="G29" s="6" t="s">
        <v>49</v>
      </c>
      <c r="H29" s="6" t="s">
        <v>266</v>
      </c>
      <c r="I29" s="6" t="s">
        <v>267</v>
      </c>
      <c r="J29" s="6" t="s">
        <v>268</v>
      </c>
    </row>
    <row r="30" customFormat="false" ht="15" hidden="false" customHeight="false" outlineLevel="0" collapsed="false">
      <c r="A30" s="6" t="s">
        <v>237</v>
      </c>
      <c r="B30" s="6" t="s">
        <v>48</v>
      </c>
      <c r="C30" s="7" t="s">
        <v>269</v>
      </c>
      <c r="D30" s="6" t="s">
        <v>270</v>
      </c>
      <c r="E30" s="6" t="s">
        <v>103</v>
      </c>
      <c r="F30" s="6" t="s">
        <v>271</v>
      </c>
      <c r="G30" s="6" t="s">
        <v>207</v>
      </c>
      <c r="H30" s="6" t="s">
        <v>208</v>
      </c>
      <c r="I30" s="6" t="s">
        <v>105</v>
      </c>
      <c r="J30" s="6" t="s">
        <v>272</v>
      </c>
    </row>
    <row r="31" customFormat="false" ht="15" hidden="false" customHeight="false" outlineLevel="0" collapsed="false">
      <c r="A31" s="6" t="s">
        <v>237</v>
      </c>
      <c r="B31" s="6" t="s">
        <v>48</v>
      </c>
      <c r="C31" s="7" t="s">
        <v>273</v>
      </c>
      <c r="D31" s="6" t="s">
        <v>274</v>
      </c>
      <c r="E31" s="6" t="s">
        <v>63</v>
      </c>
      <c r="F31" s="6" t="s">
        <v>185</v>
      </c>
      <c r="G31" s="6" t="s">
        <v>49</v>
      </c>
      <c r="H31" s="6" t="s">
        <v>275</v>
      </c>
      <c r="I31" s="6" t="s">
        <v>50</v>
      </c>
      <c r="J31" s="6"/>
    </row>
    <row r="32" customFormat="false" ht="15" hidden="false" customHeight="false" outlineLevel="0" collapsed="false">
      <c r="A32" s="6" t="s">
        <v>237</v>
      </c>
      <c r="B32" s="6" t="s">
        <v>48</v>
      </c>
      <c r="C32" s="7" t="s">
        <v>276</v>
      </c>
      <c r="D32" s="6" t="s">
        <v>277</v>
      </c>
      <c r="E32" s="6" t="s">
        <v>103</v>
      </c>
      <c r="F32" s="6" t="s">
        <v>271</v>
      </c>
      <c r="G32" s="6" t="s">
        <v>88</v>
      </c>
      <c r="H32" s="6" t="s">
        <v>208</v>
      </c>
      <c r="I32" s="6" t="s">
        <v>105</v>
      </c>
      <c r="J32" s="6"/>
    </row>
    <row r="33" customFormat="false" ht="15" hidden="false" customHeight="false" outlineLevel="0" collapsed="false">
      <c r="A33" s="6" t="s">
        <v>237</v>
      </c>
      <c r="B33" s="6" t="s">
        <v>148</v>
      </c>
      <c r="C33" s="7" t="s">
        <v>150</v>
      </c>
      <c r="D33" s="6" t="s">
        <v>151</v>
      </c>
      <c r="E33" s="6" t="s">
        <v>146</v>
      </c>
      <c r="F33" s="6" t="s">
        <v>185</v>
      </c>
      <c r="G33" s="6" t="s">
        <v>149</v>
      </c>
      <c r="H33" s="6" t="s">
        <v>278</v>
      </c>
      <c r="I33" s="6" t="s">
        <v>50</v>
      </c>
      <c r="J33" s="6" t="s">
        <v>279</v>
      </c>
    </row>
    <row r="34" customFormat="false" ht="15" hidden="false" customHeight="false" outlineLevel="0" collapsed="false">
      <c r="A34" s="6" t="s">
        <v>237</v>
      </c>
      <c r="B34" s="6" t="s">
        <v>148</v>
      </c>
      <c r="C34" s="7" t="s">
        <v>280</v>
      </c>
      <c r="D34" s="6" t="s">
        <v>281</v>
      </c>
      <c r="E34" s="6" t="s">
        <v>63</v>
      </c>
      <c r="F34" s="6" t="s">
        <v>185</v>
      </c>
      <c r="G34" s="6" t="s">
        <v>156</v>
      </c>
      <c r="H34" s="6" t="s">
        <v>275</v>
      </c>
      <c r="I34" s="6" t="s">
        <v>50</v>
      </c>
      <c r="J34" s="6" t="s">
        <v>282</v>
      </c>
    </row>
    <row r="35" customFormat="false" ht="15" hidden="false" customHeight="false" outlineLevel="0" collapsed="false">
      <c r="A35" s="6" t="s">
        <v>237</v>
      </c>
      <c r="B35" s="6" t="s">
        <v>148</v>
      </c>
      <c r="C35" s="7" t="s">
        <v>283</v>
      </c>
      <c r="D35" s="6" t="s">
        <v>284</v>
      </c>
      <c r="E35" s="6" t="s">
        <v>146</v>
      </c>
      <c r="F35" s="6" t="s">
        <v>185</v>
      </c>
      <c r="G35" s="6" t="s">
        <v>149</v>
      </c>
      <c r="H35" s="6" t="s">
        <v>285</v>
      </c>
      <c r="I35" s="6" t="s">
        <v>50</v>
      </c>
      <c r="J35" s="6" t="s">
        <v>286</v>
      </c>
    </row>
    <row r="36" customFormat="false" ht="15" hidden="false" customHeight="false" outlineLevel="0" collapsed="false">
      <c r="A36" s="6" t="s">
        <v>237</v>
      </c>
      <c r="B36" s="6" t="s">
        <v>287</v>
      </c>
      <c r="C36" s="7" t="s">
        <v>288</v>
      </c>
      <c r="D36" s="6" t="s">
        <v>137</v>
      </c>
      <c r="E36" s="6" t="s">
        <v>138</v>
      </c>
      <c r="F36" s="6" t="s">
        <v>185</v>
      </c>
      <c r="G36" s="6" t="s">
        <v>289</v>
      </c>
      <c r="H36" s="6" t="s">
        <v>290</v>
      </c>
      <c r="I36" s="6" t="s">
        <v>50</v>
      </c>
      <c r="J36" s="6" t="s">
        <v>291</v>
      </c>
    </row>
    <row r="37" customFormat="false" ht="15" hidden="false" customHeight="false" outlineLevel="0" collapsed="false">
      <c r="A37" s="13" t="s">
        <v>292</v>
      </c>
      <c r="B37" s="13" t="s">
        <v>48</v>
      </c>
      <c r="C37" s="14" t="s">
        <v>98</v>
      </c>
      <c r="D37" s="13" t="s">
        <v>99</v>
      </c>
      <c r="E37" s="13" t="s">
        <v>86</v>
      </c>
      <c r="F37" s="13" t="s">
        <v>185</v>
      </c>
      <c r="G37" s="13" t="s">
        <v>88</v>
      </c>
      <c r="H37" s="13" t="s">
        <v>247</v>
      </c>
      <c r="I37" s="13" t="s">
        <v>50</v>
      </c>
      <c r="J37" s="13" t="s">
        <v>293</v>
      </c>
    </row>
    <row r="38" customFormat="false" ht="15" hidden="false" customHeight="false" outlineLevel="0" collapsed="false">
      <c r="A38" s="13" t="s">
        <v>292</v>
      </c>
      <c r="B38" s="13" t="s">
        <v>294</v>
      </c>
      <c r="C38" s="14" t="s">
        <v>295</v>
      </c>
      <c r="D38" s="13" t="s">
        <v>296</v>
      </c>
      <c r="E38" s="13" t="s">
        <v>118</v>
      </c>
      <c r="F38" s="13" t="s">
        <v>185</v>
      </c>
      <c r="G38" s="13" t="s">
        <v>49</v>
      </c>
      <c r="H38" s="13" t="s">
        <v>297</v>
      </c>
      <c r="I38" s="13" t="s">
        <v>298</v>
      </c>
      <c r="J38" s="13" t="s">
        <v>299</v>
      </c>
    </row>
    <row r="39" customFormat="false" ht="15" hidden="false" customHeight="false" outlineLevel="0" collapsed="false">
      <c r="A39" s="6" t="s">
        <v>300</v>
      </c>
      <c r="B39" s="6" t="s">
        <v>48</v>
      </c>
      <c r="C39" s="7" t="s">
        <v>301</v>
      </c>
      <c r="D39" s="6" t="s">
        <v>62</v>
      </c>
      <c r="E39" s="6" t="s">
        <v>63</v>
      </c>
      <c r="F39" s="6" t="s">
        <v>185</v>
      </c>
      <c r="G39" s="6" t="s">
        <v>49</v>
      </c>
      <c r="H39" s="6" t="s">
        <v>302</v>
      </c>
      <c r="I39" s="6" t="s">
        <v>303</v>
      </c>
      <c r="J39" s="6" t="s">
        <v>304</v>
      </c>
    </row>
    <row r="40" customFormat="false" ht="15" hidden="false" customHeight="false" outlineLevel="0" collapsed="false">
      <c r="A40" s="6" t="s">
        <v>300</v>
      </c>
      <c r="B40" s="6" t="s">
        <v>48</v>
      </c>
      <c r="C40" s="7" t="s">
        <v>157</v>
      </c>
      <c r="D40" s="6" t="s">
        <v>158</v>
      </c>
      <c r="E40" s="6" t="s">
        <v>159</v>
      </c>
      <c r="F40" s="6" t="s">
        <v>185</v>
      </c>
      <c r="G40" s="6" t="s">
        <v>49</v>
      </c>
      <c r="H40" s="6" t="s">
        <v>305</v>
      </c>
      <c r="I40" s="6" t="s">
        <v>50</v>
      </c>
      <c r="J40" s="6" t="s">
        <v>306</v>
      </c>
    </row>
    <row r="41" customFormat="false" ht="15" hidden="false" customHeight="false" outlineLevel="0" collapsed="false">
      <c r="A41" s="6" t="s">
        <v>300</v>
      </c>
      <c r="B41" s="6" t="s">
        <v>48</v>
      </c>
      <c r="C41" s="7" t="s">
        <v>307</v>
      </c>
      <c r="D41" s="6" t="s">
        <v>308</v>
      </c>
      <c r="E41" s="6" t="s">
        <v>63</v>
      </c>
      <c r="F41" s="6" t="s">
        <v>185</v>
      </c>
      <c r="G41" s="6" t="s">
        <v>49</v>
      </c>
      <c r="H41" s="6" t="s">
        <v>275</v>
      </c>
      <c r="I41" s="6" t="s">
        <v>309</v>
      </c>
      <c r="J41" s="6" t="s">
        <v>310</v>
      </c>
    </row>
    <row r="42" customFormat="false" ht="15" hidden="false" customHeight="false" outlineLevel="0" collapsed="false">
      <c r="A42" s="6" t="s">
        <v>300</v>
      </c>
      <c r="B42" s="6" t="s">
        <v>48</v>
      </c>
      <c r="C42" s="7" t="s">
        <v>311</v>
      </c>
      <c r="D42" s="6" t="s">
        <v>312</v>
      </c>
      <c r="E42" s="6" t="s">
        <v>103</v>
      </c>
      <c r="F42" s="6" t="s">
        <v>185</v>
      </c>
      <c r="G42" s="6" t="s">
        <v>88</v>
      </c>
      <c r="H42" s="6" t="s">
        <v>208</v>
      </c>
      <c r="I42" s="6" t="s">
        <v>105</v>
      </c>
      <c r="J42" s="6" t="s">
        <v>313</v>
      </c>
    </row>
    <row r="43" customFormat="false" ht="15" hidden="false" customHeight="false" outlineLevel="0" collapsed="false">
      <c r="A43" s="6" t="s">
        <v>300</v>
      </c>
      <c r="B43" s="6" t="s">
        <v>48</v>
      </c>
      <c r="C43" s="7" t="s">
        <v>314</v>
      </c>
      <c r="D43" s="6" t="s">
        <v>315</v>
      </c>
      <c r="E43" s="6" t="s">
        <v>86</v>
      </c>
      <c r="F43" s="6" t="s">
        <v>185</v>
      </c>
      <c r="G43" s="6" t="s">
        <v>88</v>
      </c>
      <c r="H43" s="6" t="s">
        <v>316</v>
      </c>
      <c r="I43" s="6" t="s">
        <v>50</v>
      </c>
      <c r="J43" s="6" t="s">
        <v>317</v>
      </c>
    </row>
    <row r="44" customFormat="false" ht="15" hidden="false" customHeight="false" outlineLevel="0" collapsed="false">
      <c r="A44" s="6" t="s">
        <v>300</v>
      </c>
      <c r="B44" s="6" t="s">
        <v>48</v>
      </c>
      <c r="C44" s="7" t="s">
        <v>318</v>
      </c>
      <c r="D44" s="6" t="s">
        <v>319</v>
      </c>
      <c r="E44" s="6" t="s">
        <v>86</v>
      </c>
      <c r="F44" s="6" t="s">
        <v>271</v>
      </c>
      <c r="G44" s="6" t="s">
        <v>49</v>
      </c>
      <c r="H44" s="6" t="s">
        <v>320</v>
      </c>
      <c r="I44" s="6" t="s">
        <v>50</v>
      </c>
      <c r="J44" s="6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322</v>
      </c>
    </row>
    <row r="3" customFormat="false" ht="30" hidden="false" customHeight="true" outlineLevel="0" collapsed="false">
      <c r="A3" s="5" t="s">
        <v>30</v>
      </c>
      <c r="B3" s="5" t="s">
        <v>323</v>
      </c>
      <c r="C3" s="5" t="s">
        <v>324</v>
      </c>
      <c r="D3" s="5" t="s">
        <v>325</v>
      </c>
      <c r="E3" s="5" t="s">
        <v>326</v>
      </c>
      <c r="F3" s="5" t="s">
        <v>327</v>
      </c>
      <c r="G3" s="5" t="s">
        <v>328</v>
      </c>
    </row>
    <row r="4" customFormat="false" ht="15" hidden="false" customHeight="false" outlineLevel="0" collapsed="false">
      <c r="A4" s="7" t="s">
        <v>329</v>
      </c>
      <c r="B4" s="6" t="s">
        <v>330</v>
      </c>
      <c r="C4" s="6" t="s">
        <v>49</v>
      </c>
      <c r="D4" s="6" t="s">
        <v>331</v>
      </c>
      <c r="E4" s="6" t="s">
        <v>332</v>
      </c>
      <c r="F4" s="6" t="s">
        <v>309</v>
      </c>
      <c r="G4" s="6" t="s">
        <v>333</v>
      </c>
    </row>
    <row r="5" customFormat="false" ht="15" hidden="false" customHeight="false" outlineLevel="0" collapsed="false">
      <c r="A5" s="7" t="s">
        <v>63</v>
      </c>
      <c r="B5" s="6" t="s">
        <v>334</v>
      </c>
      <c r="C5" s="6" t="s">
        <v>335</v>
      </c>
      <c r="D5" s="6" t="s">
        <v>336</v>
      </c>
      <c r="E5" s="6" t="s">
        <v>337</v>
      </c>
      <c r="F5" s="6" t="s">
        <v>309</v>
      </c>
      <c r="G5" s="6" t="s">
        <v>333</v>
      </c>
    </row>
    <row r="6" customFormat="false" ht="15" hidden="false" customHeight="false" outlineLevel="0" collapsed="false">
      <c r="A6" s="7" t="s">
        <v>86</v>
      </c>
      <c r="B6" s="6" t="s">
        <v>338</v>
      </c>
      <c r="C6" s="6" t="s">
        <v>339</v>
      </c>
      <c r="D6" s="6" t="s">
        <v>340</v>
      </c>
      <c r="E6" s="6" t="s">
        <v>341</v>
      </c>
      <c r="F6" s="6" t="s">
        <v>342</v>
      </c>
      <c r="G6" s="6" t="s">
        <v>333</v>
      </c>
    </row>
    <row r="7" customFormat="false" ht="15" hidden="false" customHeight="false" outlineLevel="0" collapsed="false">
      <c r="A7" s="7" t="s">
        <v>146</v>
      </c>
      <c r="B7" s="6" t="s">
        <v>343</v>
      </c>
      <c r="C7" s="6" t="s">
        <v>344</v>
      </c>
      <c r="D7" s="6" t="s">
        <v>345</v>
      </c>
      <c r="E7" s="6" t="s">
        <v>346</v>
      </c>
      <c r="F7" s="6" t="s">
        <v>309</v>
      </c>
      <c r="G7" s="6" t="s">
        <v>347</v>
      </c>
    </row>
    <row r="8" customFormat="false" ht="15" hidden="false" customHeight="false" outlineLevel="0" collapsed="false">
      <c r="A8" s="7" t="s">
        <v>114</v>
      </c>
      <c r="B8" s="6" t="s">
        <v>348</v>
      </c>
      <c r="C8" s="6" t="s">
        <v>49</v>
      </c>
      <c r="D8" s="6" t="s">
        <v>349</v>
      </c>
      <c r="E8" s="6" t="s">
        <v>350</v>
      </c>
      <c r="F8" s="6" t="s">
        <v>309</v>
      </c>
      <c r="G8" s="6" t="s">
        <v>351</v>
      </c>
    </row>
    <row r="9" customFormat="false" ht="15" hidden="false" customHeight="false" outlineLevel="0" collapsed="false">
      <c r="A9" s="7" t="s">
        <v>159</v>
      </c>
      <c r="B9" s="6" t="s">
        <v>352</v>
      </c>
      <c r="C9" s="6" t="s">
        <v>49</v>
      </c>
      <c r="D9" s="6" t="s">
        <v>353</v>
      </c>
      <c r="E9" s="6" t="s">
        <v>354</v>
      </c>
      <c r="F9" s="6" t="s">
        <v>355</v>
      </c>
      <c r="G9" s="6" t="s">
        <v>356</v>
      </c>
    </row>
    <row r="10" customFormat="false" ht="15" hidden="false" customHeight="false" outlineLevel="0" collapsed="false">
      <c r="A10" s="7" t="s">
        <v>142</v>
      </c>
      <c r="B10" s="6" t="s">
        <v>357</v>
      </c>
      <c r="C10" s="6" t="s">
        <v>49</v>
      </c>
      <c r="D10" s="6" t="s">
        <v>358</v>
      </c>
      <c r="E10" s="6" t="s">
        <v>359</v>
      </c>
      <c r="F10" s="6" t="s">
        <v>309</v>
      </c>
      <c r="G10" s="6" t="s">
        <v>351</v>
      </c>
    </row>
    <row r="11" customFormat="false" ht="15" hidden="false" customHeight="false" outlineLevel="0" collapsed="false">
      <c r="A11" s="7" t="s">
        <v>103</v>
      </c>
      <c r="B11" s="6" t="s">
        <v>360</v>
      </c>
      <c r="C11" s="6" t="s">
        <v>339</v>
      </c>
      <c r="D11" s="6" t="s">
        <v>361</v>
      </c>
      <c r="E11" s="6" t="s">
        <v>362</v>
      </c>
      <c r="F11" s="6" t="s">
        <v>309</v>
      </c>
      <c r="G11" s="6" t="s">
        <v>351</v>
      </c>
    </row>
    <row r="12" customFormat="false" ht="15" hidden="false" customHeight="false" outlineLevel="0" collapsed="false">
      <c r="A12" s="7" t="s">
        <v>122</v>
      </c>
      <c r="B12" s="6" t="s">
        <v>363</v>
      </c>
      <c r="C12" s="6" t="s">
        <v>364</v>
      </c>
      <c r="D12" s="6" t="s">
        <v>365</v>
      </c>
      <c r="E12" s="6" t="s">
        <v>366</v>
      </c>
      <c r="F12" s="6" t="s">
        <v>309</v>
      </c>
      <c r="G12" s="6" t="s">
        <v>367</v>
      </c>
    </row>
    <row r="13" customFormat="false" ht="15" hidden="false" customHeight="false" outlineLevel="0" collapsed="false">
      <c r="A13" s="7" t="s">
        <v>118</v>
      </c>
      <c r="B13" s="6" t="s">
        <v>368</v>
      </c>
      <c r="C13" s="6" t="s">
        <v>369</v>
      </c>
      <c r="D13" s="6" t="s">
        <v>365</v>
      </c>
      <c r="E13" s="6" t="s">
        <v>370</v>
      </c>
      <c r="F13" s="6" t="s">
        <v>309</v>
      </c>
      <c r="G13" s="6" t="s">
        <v>367</v>
      </c>
    </row>
    <row r="14" customFormat="false" ht="15" hidden="false" customHeight="false" outlineLevel="0" collapsed="false">
      <c r="A14" s="7" t="s">
        <v>138</v>
      </c>
      <c r="B14" s="6" t="s">
        <v>371</v>
      </c>
      <c r="C14" s="6" t="s">
        <v>372</v>
      </c>
      <c r="D14" s="6" t="s">
        <v>365</v>
      </c>
      <c r="E14" s="6" t="s">
        <v>373</v>
      </c>
      <c r="F14" s="6" t="s">
        <v>309</v>
      </c>
      <c r="G14" s="6" t="s">
        <v>374</v>
      </c>
    </row>
    <row r="15" customFormat="false" ht="15" hidden="false" customHeight="false" outlineLevel="0" collapsed="false">
      <c r="A15" s="7" t="s">
        <v>57</v>
      </c>
      <c r="B15" s="6" t="s">
        <v>375</v>
      </c>
      <c r="C15" s="6" t="s">
        <v>49</v>
      </c>
      <c r="D15" s="6" t="s">
        <v>309</v>
      </c>
      <c r="E15" s="6" t="s">
        <v>309</v>
      </c>
      <c r="F15" s="6" t="s">
        <v>309</v>
      </c>
      <c r="G15" s="6" t="s">
        <v>376</v>
      </c>
    </row>
    <row r="16" customFormat="false" ht="15" hidden="false" customHeight="false" outlineLevel="0" collapsed="false">
      <c r="A16" s="7" t="s">
        <v>226</v>
      </c>
      <c r="B16" s="6" t="s">
        <v>377</v>
      </c>
      <c r="C16" s="6" t="s">
        <v>49</v>
      </c>
      <c r="D16" s="6" t="s">
        <v>365</v>
      </c>
      <c r="E16" s="6" t="s">
        <v>378</v>
      </c>
      <c r="F16" s="6" t="s">
        <v>379</v>
      </c>
      <c r="G16" s="6" t="s">
        <v>380</v>
      </c>
    </row>
    <row r="17" customFormat="false" ht="15" hidden="false" customHeight="false" outlineLevel="0" collapsed="false">
      <c r="A17" s="7" t="s">
        <v>265</v>
      </c>
      <c r="B17" s="6" t="s">
        <v>381</v>
      </c>
      <c r="C17" s="6" t="s">
        <v>49</v>
      </c>
      <c r="D17" s="6" t="s">
        <v>382</v>
      </c>
      <c r="E17" s="6" t="s">
        <v>383</v>
      </c>
      <c r="F17" s="6" t="s">
        <v>384</v>
      </c>
      <c r="G17" s="6" t="s">
        <v>385</v>
      </c>
    </row>
    <row r="18" customFormat="false" ht="15" hidden="false" customHeight="false" outlineLevel="0" collapsed="false">
      <c r="A18" s="7" t="s">
        <v>386</v>
      </c>
      <c r="B18" s="6" t="s">
        <v>387</v>
      </c>
      <c r="C18" s="6" t="s">
        <v>49</v>
      </c>
      <c r="D18" s="6" t="s">
        <v>365</v>
      </c>
      <c r="E18" s="6" t="s">
        <v>366</v>
      </c>
      <c r="F18" s="6" t="s">
        <v>309</v>
      </c>
      <c r="G18" s="6" t="s">
        <v>388</v>
      </c>
    </row>
    <row r="19" customFormat="false" ht="15" hidden="false" customHeight="false" outlineLevel="0" collapsed="false">
      <c r="A19" s="7" t="s">
        <v>53</v>
      </c>
      <c r="B19" s="6" t="s">
        <v>389</v>
      </c>
      <c r="C19" s="6" t="s">
        <v>390</v>
      </c>
      <c r="D19" s="6" t="s">
        <v>391</v>
      </c>
      <c r="E19" s="6" t="s">
        <v>392</v>
      </c>
      <c r="F19" s="6" t="s">
        <v>393</v>
      </c>
      <c r="G19" s="6" t="s">
        <v>394</v>
      </c>
    </row>
    <row r="20" customFormat="false" ht="15" hidden="false" customHeight="false" outlineLevel="0" collapsed="false">
      <c r="A20" s="7" t="s">
        <v>220</v>
      </c>
      <c r="B20" s="6" t="s">
        <v>294</v>
      </c>
      <c r="C20" s="6" t="s">
        <v>49</v>
      </c>
      <c r="D20" s="6" t="s">
        <v>395</v>
      </c>
      <c r="E20" s="6" t="s">
        <v>294</v>
      </c>
      <c r="F20" s="6" t="s">
        <v>294</v>
      </c>
      <c r="G20" s="6" t="s">
        <v>396</v>
      </c>
    </row>
    <row r="21" customFormat="false" ht="15" hidden="false" customHeight="false" outlineLevel="0" collapsed="false">
      <c r="A21" s="7" t="s">
        <v>397</v>
      </c>
      <c r="B21" s="6" t="s">
        <v>294</v>
      </c>
      <c r="C21" s="6" t="s">
        <v>294</v>
      </c>
      <c r="D21" s="6" t="s">
        <v>398</v>
      </c>
      <c r="E21" s="6" t="s">
        <v>294</v>
      </c>
      <c r="F21" s="6" t="s">
        <v>294</v>
      </c>
      <c r="G21" s="6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" t="s">
        <v>400</v>
      </c>
    </row>
    <row r="2" customFormat="false" ht="15" hidden="false" customHeight="false" outlineLevel="0" collapsed="false">
      <c r="A2" s="4" t="s">
        <v>401</v>
      </c>
    </row>
    <row r="4" customFormat="false" ht="30" hidden="false" customHeight="true" outlineLevel="0" collapsed="false">
      <c r="A4" s="5" t="s">
        <v>402</v>
      </c>
      <c r="B4" s="5" t="s">
        <v>403</v>
      </c>
      <c r="C4" s="5" t="s">
        <v>30</v>
      </c>
      <c r="D4" s="5" t="s">
        <v>404</v>
      </c>
      <c r="E4" s="5" t="s">
        <v>405</v>
      </c>
      <c r="F4" s="5" t="s">
        <v>406</v>
      </c>
      <c r="G4" s="5" t="s">
        <v>178</v>
      </c>
    </row>
    <row r="5" customFormat="false" ht="15" hidden="false" customHeight="false" outlineLevel="0" collapsed="false">
      <c r="A5" s="6" t="s">
        <v>407</v>
      </c>
      <c r="B5" s="7" t="s">
        <v>408</v>
      </c>
      <c r="C5" s="6" t="s">
        <v>409</v>
      </c>
      <c r="D5" s="6" t="s">
        <v>410</v>
      </c>
      <c r="E5" s="6" t="s">
        <v>411</v>
      </c>
      <c r="F5" s="6" t="s">
        <v>412</v>
      </c>
      <c r="G5" s="6" t="s">
        <v>413</v>
      </c>
    </row>
    <row r="6" customFormat="false" ht="15" hidden="false" customHeight="false" outlineLevel="0" collapsed="false">
      <c r="A6" s="6" t="s">
        <v>414</v>
      </c>
      <c r="B6" s="7" t="s">
        <v>415</v>
      </c>
      <c r="C6" s="6" t="s">
        <v>86</v>
      </c>
      <c r="D6" s="6" t="s">
        <v>416</v>
      </c>
      <c r="E6" s="6" t="s">
        <v>417</v>
      </c>
      <c r="F6" s="6" t="s">
        <v>418</v>
      </c>
      <c r="G6" s="6" t="s">
        <v>419</v>
      </c>
    </row>
    <row r="7" customFormat="false" ht="15" hidden="false" customHeight="false" outlineLevel="0" collapsed="false">
      <c r="A7" s="6" t="s">
        <v>420</v>
      </c>
      <c r="B7" s="7" t="s">
        <v>421</v>
      </c>
      <c r="C7" s="6" t="s">
        <v>422</v>
      </c>
      <c r="D7" s="6" t="s">
        <v>423</v>
      </c>
      <c r="E7" s="6" t="s">
        <v>354</v>
      </c>
      <c r="F7" s="6" t="s">
        <v>412</v>
      </c>
      <c r="G7" s="6" t="s">
        <v>424</v>
      </c>
    </row>
    <row r="8" customFormat="false" ht="15" hidden="false" customHeight="false" outlineLevel="0" collapsed="false">
      <c r="A8" s="6" t="s">
        <v>425</v>
      </c>
      <c r="B8" s="7" t="s">
        <v>426</v>
      </c>
      <c r="C8" s="6" t="s">
        <v>57</v>
      </c>
      <c r="D8" s="6" t="s">
        <v>427</v>
      </c>
      <c r="E8" s="6" t="s">
        <v>428</v>
      </c>
      <c r="F8" s="6" t="s">
        <v>412</v>
      </c>
      <c r="G8" s="6" t="s">
        <v>429</v>
      </c>
    </row>
    <row r="9" customFormat="false" ht="15" hidden="false" customHeight="false" outlineLevel="0" collapsed="false">
      <c r="A9" s="6" t="s">
        <v>430</v>
      </c>
      <c r="B9" s="7" t="s">
        <v>431</v>
      </c>
      <c r="C9" s="6" t="s">
        <v>86</v>
      </c>
      <c r="D9" s="6" t="s">
        <v>294</v>
      </c>
      <c r="E9" s="6" t="s">
        <v>294</v>
      </c>
      <c r="F9" s="6" t="s">
        <v>432</v>
      </c>
      <c r="G9" s="6" t="s">
        <v>433</v>
      </c>
    </row>
    <row r="10" customFormat="false" ht="15" hidden="false" customHeight="false" outlineLevel="0" collapsed="false">
      <c r="A10" s="6" t="s">
        <v>434</v>
      </c>
      <c r="B10" s="7" t="s">
        <v>435</v>
      </c>
      <c r="C10" s="6" t="s">
        <v>57</v>
      </c>
      <c r="D10" s="6" t="s">
        <v>436</v>
      </c>
      <c r="E10" s="6" t="s">
        <v>428</v>
      </c>
      <c r="F10" s="6" t="s">
        <v>412</v>
      </c>
      <c r="G10" s="6" t="s">
        <v>437</v>
      </c>
    </row>
    <row r="11" customFormat="false" ht="15" hidden="false" customHeight="false" outlineLevel="0" collapsed="false">
      <c r="A11" s="6" t="s">
        <v>434</v>
      </c>
      <c r="B11" s="7" t="s">
        <v>438</v>
      </c>
      <c r="C11" s="6" t="s">
        <v>86</v>
      </c>
      <c r="D11" s="6" t="s">
        <v>439</v>
      </c>
      <c r="E11" s="6" t="s">
        <v>440</v>
      </c>
      <c r="F11" s="6" t="s">
        <v>412</v>
      </c>
      <c r="G11" s="6" t="s">
        <v>441</v>
      </c>
    </row>
    <row r="12" customFormat="false" ht="15" hidden="false" customHeight="false" outlineLevel="0" collapsed="false">
      <c r="A12" s="6" t="s">
        <v>442</v>
      </c>
      <c r="B12" s="7" t="s">
        <v>443</v>
      </c>
      <c r="C12" s="6" t="s">
        <v>422</v>
      </c>
      <c r="D12" s="6" t="s">
        <v>444</v>
      </c>
      <c r="E12" s="6" t="s">
        <v>354</v>
      </c>
      <c r="F12" s="6" t="s">
        <v>412</v>
      </c>
      <c r="G12" s="6" t="s">
        <v>445</v>
      </c>
    </row>
    <row r="13" customFormat="false" ht="15" hidden="false" customHeight="false" outlineLevel="0" collapsed="false">
      <c r="A13" s="6" t="s">
        <v>446</v>
      </c>
      <c r="B13" s="7" t="s">
        <v>447</v>
      </c>
      <c r="C13" s="6" t="s">
        <v>422</v>
      </c>
      <c r="D13" s="6" t="s">
        <v>448</v>
      </c>
      <c r="E13" s="6" t="s">
        <v>428</v>
      </c>
      <c r="F13" s="6" t="s">
        <v>412</v>
      </c>
      <c r="G13" s="6" t="s">
        <v>449</v>
      </c>
    </row>
    <row r="14" customFormat="false" ht="15" hidden="false" customHeight="false" outlineLevel="0" collapsed="false">
      <c r="A14" s="6" t="s">
        <v>450</v>
      </c>
      <c r="B14" s="7" t="s">
        <v>451</v>
      </c>
      <c r="C14" s="6" t="s">
        <v>71</v>
      </c>
      <c r="D14" s="6" t="s">
        <v>452</v>
      </c>
      <c r="E14" s="6" t="s">
        <v>294</v>
      </c>
      <c r="F14" s="6" t="s">
        <v>412</v>
      </c>
      <c r="G14" s="6" t="s">
        <v>453</v>
      </c>
    </row>
    <row r="15" customFormat="false" ht="15" hidden="false" customHeight="false" outlineLevel="0" collapsed="false">
      <c r="A15" s="6" t="s">
        <v>454</v>
      </c>
      <c r="B15" s="7" t="s">
        <v>455</v>
      </c>
      <c r="C15" s="6" t="s">
        <v>63</v>
      </c>
      <c r="D15" s="6" t="s">
        <v>456</v>
      </c>
      <c r="E15" s="6" t="s">
        <v>457</v>
      </c>
      <c r="F15" s="6" t="s">
        <v>412</v>
      </c>
      <c r="G15" s="6" t="s">
        <v>458</v>
      </c>
    </row>
    <row r="16" customFormat="false" ht="15" hidden="false" customHeight="false" outlineLevel="0" collapsed="false">
      <c r="A16" s="6" t="s">
        <v>459</v>
      </c>
      <c r="B16" s="7" t="s">
        <v>460</v>
      </c>
      <c r="C16" s="6" t="s">
        <v>118</v>
      </c>
      <c r="D16" s="6" t="s">
        <v>461</v>
      </c>
      <c r="E16" s="6" t="s">
        <v>428</v>
      </c>
      <c r="F16" s="6" t="s">
        <v>412</v>
      </c>
      <c r="G16" s="6" t="s">
        <v>462</v>
      </c>
    </row>
    <row r="17" customFormat="false" ht="15" hidden="false" customHeight="false" outlineLevel="0" collapsed="false">
      <c r="A17" s="6" t="s">
        <v>463</v>
      </c>
      <c r="B17" s="7" t="s">
        <v>464</v>
      </c>
      <c r="C17" s="6" t="s">
        <v>63</v>
      </c>
      <c r="D17" s="6" t="s">
        <v>465</v>
      </c>
      <c r="E17" s="6" t="s">
        <v>428</v>
      </c>
      <c r="F17" s="6" t="s">
        <v>412</v>
      </c>
      <c r="G17" s="6" t="s">
        <v>466</v>
      </c>
    </row>
    <row r="18" customFormat="false" ht="15" hidden="false" customHeight="false" outlineLevel="0" collapsed="false">
      <c r="A18" s="6" t="s">
        <v>467</v>
      </c>
      <c r="B18" s="7" t="s">
        <v>468</v>
      </c>
      <c r="C18" s="6" t="s">
        <v>146</v>
      </c>
      <c r="D18" s="6" t="s">
        <v>469</v>
      </c>
      <c r="E18" s="6" t="s">
        <v>470</v>
      </c>
      <c r="F18" s="6" t="s">
        <v>412</v>
      </c>
      <c r="G18" s="6" t="s">
        <v>471</v>
      </c>
    </row>
    <row r="19" customFormat="false" ht="15" hidden="false" customHeight="false" outlineLevel="0" collapsed="false">
      <c r="A19" s="6" t="s">
        <v>472</v>
      </c>
      <c r="B19" s="7" t="s">
        <v>473</v>
      </c>
      <c r="C19" s="6" t="s">
        <v>63</v>
      </c>
      <c r="D19" s="6" t="s">
        <v>474</v>
      </c>
      <c r="E19" s="6" t="s">
        <v>440</v>
      </c>
      <c r="F19" s="6" t="s">
        <v>412</v>
      </c>
      <c r="G19" s="6" t="s">
        <v>475</v>
      </c>
    </row>
    <row r="20" customFormat="false" ht="15" hidden="false" customHeight="false" outlineLevel="0" collapsed="false">
      <c r="A20" s="6" t="s">
        <v>476</v>
      </c>
      <c r="B20" s="7" t="s">
        <v>477</v>
      </c>
      <c r="C20" s="6" t="s">
        <v>146</v>
      </c>
      <c r="D20" s="6" t="s">
        <v>478</v>
      </c>
      <c r="E20" s="6" t="s">
        <v>440</v>
      </c>
      <c r="F20" s="6" t="s">
        <v>412</v>
      </c>
      <c r="G20" s="6" t="s">
        <v>479</v>
      </c>
    </row>
    <row r="22" customFormat="false" ht="15" hidden="false" customHeight="false" outlineLevel="0" collapsed="false">
      <c r="A22" s="3" t="s">
        <v>480</v>
      </c>
    </row>
    <row r="23" customFormat="false" ht="35.05" hidden="false" customHeight="false" outlineLevel="0" collapsed="false">
      <c r="B23" s="3" t="s">
        <v>481</v>
      </c>
      <c r="D23" s="15" t="s">
        <v>482</v>
      </c>
    </row>
    <row r="24" customFormat="false" ht="23.85" hidden="false" customHeight="false" outlineLevel="0" collapsed="false">
      <c r="B24" s="3" t="s">
        <v>483</v>
      </c>
      <c r="D24" s="15" t="s">
        <v>484</v>
      </c>
    </row>
    <row r="25" customFormat="false" ht="15" hidden="false" customHeight="false" outlineLevel="0" collapsed="false">
      <c r="B25" s="3" t="s">
        <v>485</v>
      </c>
      <c r="D25" s="15" t="s">
        <v>486</v>
      </c>
    </row>
    <row r="26" customFormat="false" ht="23.85" hidden="false" customHeight="false" outlineLevel="0" collapsed="false">
      <c r="B26" s="3" t="s">
        <v>487</v>
      </c>
      <c r="D26" s="15" t="s">
        <v>488</v>
      </c>
    </row>
    <row r="27" customFormat="false" ht="15" hidden="false" customHeight="false" outlineLevel="0" collapsed="false">
      <c r="B27" s="3" t="s">
        <v>489</v>
      </c>
      <c r="D27" s="15" t="s">
        <v>490</v>
      </c>
    </row>
    <row r="28" customFormat="false" ht="23.85" hidden="false" customHeight="false" outlineLevel="0" collapsed="false">
      <c r="B28" s="3" t="s">
        <v>491</v>
      </c>
      <c r="D28" s="15" t="s">
        <v>492</v>
      </c>
    </row>
    <row r="29" customFormat="false" ht="15" hidden="false" customHeight="false" outlineLevel="0" collapsed="false">
      <c r="B29" s="3" t="s">
        <v>493</v>
      </c>
      <c r="D29" s="15" t="s">
        <v>494</v>
      </c>
    </row>
    <row r="30" customFormat="false" ht="15" hidden="false" customHeight="false" outlineLevel="0" collapsed="false">
      <c r="B30" s="3" t="s">
        <v>495</v>
      </c>
      <c r="D30" s="15" t="s">
        <v>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58"/>
    <col collapsed="false" customWidth="true" hidden="false" outlineLevel="0" max="4" min="4" style="0" width="9"/>
  </cols>
  <sheetData>
    <row r="1" customFormat="false" ht="17.35" hidden="false" customHeight="false" outlineLevel="0" collapsed="false">
      <c r="A1" s="1" t="s">
        <v>497</v>
      </c>
    </row>
    <row r="3" customFormat="false" ht="30" hidden="false" customHeight="true" outlineLevel="0" collapsed="false">
      <c r="A3" s="5" t="s">
        <v>402</v>
      </c>
      <c r="B3" s="5" t="s">
        <v>498</v>
      </c>
      <c r="C3" s="5" t="s">
        <v>499</v>
      </c>
      <c r="D3" s="5" t="s">
        <v>500</v>
      </c>
    </row>
    <row r="4" customFormat="false" ht="15" hidden="false" customHeight="false" outlineLevel="0" collapsed="false">
      <c r="A4" s="6" t="s">
        <v>501</v>
      </c>
      <c r="B4" s="7" t="s">
        <v>502</v>
      </c>
      <c r="C4" s="6" t="s">
        <v>503</v>
      </c>
      <c r="D4" s="16"/>
    </row>
    <row r="5" customFormat="false" ht="15" hidden="false" customHeight="false" outlineLevel="0" collapsed="false">
      <c r="A5" s="6" t="s">
        <v>501</v>
      </c>
      <c r="B5" s="7" t="s">
        <v>504</v>
      </c>
      <c r="C5" s="6" t="s">
        <v>505</v>
      </c>
      <c r="D5" s="16"/>
    </row>
    <row r="6" customFormat="false" ht="15" hidden="false" customHeight="false" outlineLevel="0" collapsed="false">
      <c r="A6" s="6" t="s">
        <v>501</v>
      </c>
      <c r="B6" s="7" t="s">
        <v>506</v>
      </c>
      <c r="C6" s="6" t="s">
        <v>507</v>
      </c>
      <c r="D6" s="16"/>
    </row>
    <row r="7" customFormat="false" ht="15" hidden="false" customHeight="false" outlineLevel="0" collapsed="false">
      <c r="A7" s="6" t="s">
        <v>501</v>
      </c>
      <c r="B7" s="7" t="s">
        <v>508</v>
      </c>
      <c r="C7" s="6" t="s">
        <v>509</v>
      </c>
      <c r="D7" s="16"/>
    </row>
    <row r="8" customFormat="false" ht="15" hidden="false" customHeight="false" outlineLevel="0" collapsed="false">
      <c r="A8" s="6" t="s">
        <v>501</v>
      </c>
      <c r="B8" s="7" t="s">
        <v>510</v>
      </c>
      <c r="C8" s="6" t="s">
        <v>511</v>
      </c>
      <c r="D8" s="16"/>
    </row>
    <row r="9" customFormat="false" ht="15" hidden="false" customHeight="false" outlineLevel="0" collapsed="false">
      <c r="A9" s="6" t="s">
        <v>512</v>
      </c>
      <c r="B9" s="7" t="s">
        <v>513</v>
      </c>
      <c r="C9" s="6" t="s">
        <v>514</v>
      </c>
      <c r="D9" s="16"/>
    </row>
    <row r="10" customFormat="false" ht="15" hidden="false" customHeight="false" outlineLevel="0" collapsed="false">
      <c r="A10" s="6" t="s">
        <v>512</v>
      </c>
      <c r="B10" s="7" t="s">
        <v>515</v>
      </c>
      <c r="C10" s="6" t="s">
        <v>516</v>
      </c>
      <c r="D10" s="16"/>
    </row>
    <row r="11" customFormat="false" ht="15" hidden="false" customHeight="false" outlineLevel="0" collapsed="false">
      <c r="A11" s="6" t="s">
        <v>512</v>
      </c>
      <c r="B11" s="7" t="s">
        <v>517</v>
      </c>
      <c r="C11" s="6" t="s">
        <v>518</v>
      </c>
      <c r="D11" s="16"/>
    </row>
    <row r="12" customFormat="false" ht="15" hidden="false" customHeight="false" outlineLevel="0" collapsed="false">
      <c r="A12" s="6" t="s">
        <v>519</v>
      </c>
      <c r="B12" s="7" t="s">
        <v>520</v>
      </c>
      <c r="C12" s="6" t="s">
        <v>521</v>
      </c>
      <c r="D12" s="16"/>
    </row>
    <row r="13" customFormat="false" ht="15" hidden="false" customHeight="false" outlineLevel="0" collapsed="false">
      <c r="A13" s="6" t="s">
        <v>519</v>
      </c>
      <c r="B13" s="7" t="s">
        <v>522</v>
      </c>
      <c r="C13" s="6" t="s">
        <v>523</v>
      </c>
      <c r="D13" s="16"/>
    </row>
    <row r="14" customFormat="false" ht="15" hidden="false" customHeight="false" outlineLevel="0" collapsed="false">
      <c r="A14" s="6" t="s">
        <v>524</v>
      </c>
      <c r="B14" s="7" t="s">
        <v>525</v>
      </c>
      <c r="C14" s="6" t="s">
        <v>526</v>
      </c>
      <c r="D14" s="16"/>
    </row>
    <row r="15" customFormat="false" ht="15" hidden="false" customHeight="false" outlineLevel="0" collapsed="false">
      <c r="A15" s="6" t="s">
        <v>524</v>
      </c>
      <c r="B15" s="7" t="s">
        <v>527</v>
      </c>
      <c r="C15" s="6" t="s">
        <v>528</v>
      </c>
      <c r="D15" s="16"/>
    </row>
    <row r="16" customFormat="false" ht="15" hidden="false" customHeight="false" outlineLevel="0" collapsed="false">
      <c r="A16" s="6" t="s">
        <v>529</v>
      </c>
      <c r="B16" s="7" t="s">
        <v>530</v>
      </c>
      <c r="C16" s="6" t="s">
        <v>531</v>
      </c>
      <c r="D16" s="16"/>
    </row>
    <row r="17" customFormat="false" ht="15" hidden="false" customHeight="false" outlineLevel="0" collapsed="false">
      <c r="A17" s="6" t="s">
        <v>532</v>
      </c>
      <c r="B17" s="7" t="s">
        <v>451</v>
      </c>
      <c r="C17" s="6" t="s">
        <v>533</v>
      </c>
      <c r="D17" s="16"/>
    </row>
    <row r="18" customFormat="false" ht="15" hidden="false" customHeight="false" outlineLevel="0" collapsed="false">
      <c r="A18" s="6" t="s">
        <v>534</v>
      </c>
      <c r="B18" s="7" t="s">
        <v>535</v>
      </c>
      <c r="C18" s="6" t="s">
        <v>536</v>
      </c>
      <c r="D18" s="16"/>
    </row>
    <row r="19" customFormat="false" ht="15" hidden="false" customHeight="false" outlineLevel="0" collapsed="false">
      <c r="A19" s="6" t="s">
        <v>537</v>
      </c>
      <c r="B19" s="7" t="s">
        <v>538</v>
      </c>
      <c r="C19" s="6" t="s">
        <v>539</v>
      </c>
      <c r="D19" s="16"/>
    </row>
    <row r="20" customFormat="false" ht="15" hidden="false" customHeight="false" outlineLevel="0" collapsed="false">
      <c r="A20" s="6" t="s">
        <v>540</v>
      </c>
      <c r="B20" s="7" t="s">
        <v>541</v>
      </c>
      <c r="C20" s="6" t="s">
        <v>542</v>
      </c>
      <c r="D20" s="16"/>
    </row>
    <row r="21" customFormat="false" ht="15" hidden="false" customHeight="false" outlineLevel="0" collapsed="false">
      <c r="A21" s="6" t="s">
        <v>543</v>
      </c>
      <c r="B21" s="7" t="s">
        <v>544</v>
      </c>
      <c r="C21" s="6" t="s">
        <v>545</v>
      </c>
      <c r="D21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82"/>
  </cols>
  <sheetData>
    <row r="1" customFormat="false" ht="17.35" hidden="false" customHeight="false" outlineLevel="0" collapsed="false">
      <c r="A1" s="1" t="s">
        <v>546</v>
      </c>
    </row>
    <row r="3" customFormat="false" ht="30" hidden="false" customHeight="true" outlineLevel="0" collapsed="false">
      <c r="A3" s="5" t="s">
        <v>547</v>
      </c>
      <c r="B3" s="5" t="s">
        <v>548</v>
      </c>
    </row>
    <row r="4" customFormat="false" ht="23.85" hidden="false" customHeight="false" outlineLevel="0" collapsed="false">
      <c r="A4" s="7" t="s">
        <v>549</v>
      </c>
      <c r="B4" s="6" t="s">
        <v>550</v>
      </c>
    </row>
    <row r="5" customFormat="false" ht="15" hidden="false" customHeight="false" outlineLevel="0" collapsed="false">
      <c r="A5" s="7" t="s">
        <v>551</v>
      </c>
      <c r="B5" s="6" t="s">
        <v>552</v>
      </c>
    </row>
    <row r="6" customFormat="false" ht="15" hidden="false" customHeight="false" outlineLevel="0" collapsed="false">
      <c r="A6" s="7" t="s">
        <v>553</v>
      </c>
      <c r="B6" s="6" t="s">
        <v>554</v>
      </c>
    </row>
    <row r="7" customFormat="false" ht="15" hidden="false" customHeight="false" outlineLevel="0" collapsed="false">
      <c r="A7" s="7" t="s">
        <v>555</v>
      </c>
      <c r="B7" s="6" t="s">
        <v>556</v>
      </c>
    </row>
    <row r="8" customFormat="false" ht="15" hidden="false" customHeight="false" outlineLevel="0" collapsed="false">
      <c r="A8" s="7" t="s">
        <v>557</v>
      </c>
      <c r="B8" s="6" t="s">
        <v>558</v>
      </c>
    </row>
    <row r="9" customFormat="false" ht="15" hidden="false" customHeight="false" outlineLevel="0" collapsed="false">
      <c r="A9" s="7" t="s">
        <v>559</v>
      </c>
      <c r="B9" s="6" t="s">
        <v>560</v>
      </c>
    </row>
    <row r="10" customFormat="false" ht="15" hidden="false" customHeight="false" outlineLevel="0" collapsed="false">
      <c r="A10" s="7" t="s">
        <v>561</v>
      </c>
      <c r="B10" s="6" t="s">
        <v>562</v>
      </c>
    </row>
    <row r="11" customFormat="false" ht="15" hidden="false" customHeight="false" outlineLevel="0" collapsed="false">
      <c r="A11" s="7" t="s">
        <v>563</v>
      </c>
      <c r="B11" s="6" t="s">
        <v>564</v>
      </c>
    </row>
    <row r="12" customFormat="false" ht="15" hidden="false" customHeight="false" outlineLevel="0" collapsed="false">
      <c r="A12" s="7" t="s">
        <v>565</v>
      </c>
      <c r="B12" s="6" t="s">
        <v>566</v>
      </c>
    </row>
    <row r="13" customFormat="false" ht="15" hidden="false" customHeight="false" outlineLevel="0" collapsed="false">
      <c r="A13" s="7" t="s">
        <v>567</v>
      </c>
      <c r="B13" s="6" t="s">
        <v>568</v>
      </c>
    </row>
    <row r="14" customFormat="false" ht="15" hidden="false" customHeight="false" outlineLevel="0" collapsed="false">
      <c r="A14" s="7" t="s">
        <v>569</v>
      </c>
      <c r="B14" s="6" t="s">
        <v>570</v>
      </c>
    </row>
    <row r="15" customFormat="false" ht="15" hidden="false" customHeight="false" outlineLevel="0" collapsed="false">
      <c r="A15" s="7" t="s">
        <v>571</v>
      </c>
      <c r="B15" s="6" t="s">
        <v>572</v>
      </c>
    </row>
    <row r="16" customFormat="false" ht="15" hidden="false" customHeight="false" outlineLevel="0" collapsed="false">
      <c r="A16" s="7" t="s">
        <v>573</v>
      </c>
      <c r="B16" s="6" t="s">
        <v>574</v>
      </c>
    </row>
    <row r="17" customFormat="false" ht="15" hidden="false" customHeight="false" outlineLevel="0" collapsed="false">
      <c r="A17" s="7" t="s">
        <v>575</v>
      </c>
      <c r="B17" s="6" t="s">
        <v>576</v>
      </c>
    </row>
    <row r="18" customFormat="false" ht="15" hidden="false" customHeight="false" outlineLevel="0" collapsed="false">
      <c r="A18" s="7" t="s">
        <v>577</v>
      </c>
      <c r="B18" s="6" t="s">
        <v>578</v>
      </c>
    </row>
    <row r="19" customFormat="false" ht="15" hidden="false" customHeight="false" outlineLevel="0" collapsed="false">
      <c r="A19" s="7" t="s">
        <v>579</v>
      </c>
      <c r="B19" s="6" t="s">
        <v>580</v>
      </c>
    </row>
    <row r="20" customFormat="false" ht="15" hidden="false" customHeight="false" outlineLevel="0" collapsed="false">
      <c r="A20" s="7" t="s">
        <v>581</v>
      </c>
      <c r="B20" s="6" t="s">
        <v>582</v>
      </c>
    </row>
    <row r="21" customFormat="false" ht="15" hidden="false" customHeight="false" outlineLevel="0" collapsed="false">
      <c r="A21" s="7" t="s">
        <v>397</v>
      </c>
      <c r="B21" s="6" t="s">
        <v>583</v>
      </c>
    </row>
    <row r="22" customFormat="false" ht="15" hidden="false" customHeight="false" outlineLevel="0" collapsed="false">
      <c r="A22" s="7" t="s">
        <v>584</v>
      </c>
      <c r="B22" s="6" t="s">
        <v>585</v>
      </c>
    </row>
    <row r="23" customFormat="false" ht="15" hidden="false" customHeight="false" outlineLevel="0" collapsed="false">
      <c r="A23" s="7" t="s">
        <v>586</v>
      </c>
      <c r="B23" s="6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2026-08-18T18:19:57Z</dcterms:created>
  <dc:creator>openpyxl</dc:creator>
  <dc:description/>
  <dc:language>en-US</dc:language>
  <cp:lastModifiedBy/>
  <dcterms:modified xsi:type="dcterms:W3CDTF">2026-08-18T18:19:57Z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